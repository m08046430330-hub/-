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別集計" sheetId="1" state="visible" r:id="rId3"/>
    <sheet name="平日" sheetId="2" state="visible" r:id="rId4"/>
    <sheet name="土日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<sst xmlns="http://schemas.openxmlformats.org/spreadsheetml/2006/main" count="145" uniqueCount="42">
  <si>
    <r>
      <rPr>
        <b val="true"/>
        <sz val="14"/>
        <rFont val="WenQuanYi Zen Hei"/>
        <family val="2"/>
      </rPr>
      <t xml:space="preserve">月別 平日・土日 売上集計（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年）</t>
    </r>
  </si>
  <si>
    <t xml:space="preserve">月</t>
  </si>
  <si>
    <t xml:space="preserve">平日 日数</t>
  </si>
  <si>
    <t xml:space="preserve">平日 売上合計</t>
  </si>
  <si>
    <r>
      <rPr>
        <b val="true"/>
        <sz val="11"/>
        <color rgb="FFFFFFFF"/>
        <rFont val="WenQuanYi Zen Hei"/>
        <family val="2"/>
      </rPr>
      <t xml:space="preserve">平日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</si>
  <si>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土日 日数</t>
  </si>
  <si>
    <t xml:space="preserve">土日 売上合計</t>
  </si>
  <si>
    <r>
      <rPr>
        <b val="true"/>
        <sz val="11"/>
        <color rgb="FFFFFFFF"/>
        <rFont val="WenQuanYi Zen Hei"/>
        <family val="2"/>
      </rPr>
      <t xml:space="preserve">土日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</si>
  <si>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総合計</t>
  </si>
  <si>
    <t xml:space="preserve">土日比率</t>
  </si>
  <si>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</si>
  <si>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</si>
  <si>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</si>
  <si>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9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</si>
  <si>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月</t>
    </r>
  </si>
  <si>
    <t xml:space="preserve">合計</t>
  </si>
  <si>
    <t xml:space="preserve">土日平均は平日平均の</t>
  </si>
  <si>
    <t xml:space="preserve">【注記】</t>
  </si>
  <si>
    <r>
      <rPr>
        <sz val="9"/>
        <color rgb="FF595959"/>
        <rFont val="WenQuanYi Zen Hei"/>
        <family val="2"/>
      </rPr>
      <t xml:space="preserve">・元データ：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グループの日次売上報告（</t>
    </r>
    <r>
      <rPr>
        <sz val="9"/>
        <color rgb="FF595959"/>
        <rFont val="Arial"/>
        <family val="0"/>
        <charset val="1"/>
      </rPr>
      <t xml:space="preserve">6/21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10/15</t>
    </r>
    <r>
      <rPr>
        <sz val="9"/>
        <color rgb="FF595959"/>
        <rFont val="WenQuanYi Zen Hei"/>
        <family val="2"/>
      </rPr>
      <t xml:space="preserve">）。区分は曜日のみで判定（祝日は「平日」側に含み、各シートの祝日列で表示）。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</si>
  <si>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月は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WenQuanYi Zen Hei"/>
        <family val="2"/>
      </rPr>
      <t xml:space="preserve">日以降のみ（それ以前の日別報告がトーク履歴にないため）。</t>
    </r>
  </si>
  <si>
    <r>
      <rPr>
        <sz val="9"/>
        <color rgb="FF595959"/>
        <rFont val="WenQuanYi Zen Hei"/>
        <family val="2"/>
      </rPr>
      <t xml:space="preserve">・トーク履歴に報告がない日（集計対象外）：</t>
    </r>
    <r>
      <rPr>
        <sz val="9"/>
        <color rgb="FF595959"/>
        <rFont val="Arial"/>
        <family val="0"/>
        <charset val="1"/>
      </rPr>
      <t xml:space="preserve">7/21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7/24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8/23</t>
    </r>
    <r>
      <rPr>
        <sz val="9"/>
        <color rgb="FF595959"/>
        <rFont val="WenQuanYi Zen Hei"/>
        <family val="2"/>
      </rPr>
      <t xml:space="preserve">。そのため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月・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月の合計は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上の「合算」より少なくなります。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</si>
  <si>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7/26</t>
    </r>
    <r>
      <rPr>
        <sz val="9"/>
        <color rgb="FF595959"/>
        <rFont val="WenQuanYi Zen Hei"/>
        <family val="2"/>
      </rPr>
      <t xml:space="preserve">：当初 </t>
    </r>
    <r>
      <rPr>
        <sz val="9"/>
        <color rgb="FF595959"/>
        <rFont val="Arial"/>
        <family val="0"/>
        <charset val="1"/>
      </rPr>
      <t xml:space="preserve">965,890 → 7/27</t>
    </r>
    <r>
      <rPr>
        <sz val="9"/>
        <color rgb="FF595959"/>
        <rFont val="WenQuanYi Zen Hei"/>
        <family val="2"/>
      </rPr>
      <t xml:space="preserve">の訂正投稿（本文「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 </t>
    </r>
    <r>
      <rPr>
        <sz val="9"/>
        <color rgb="FF595959"/>
        <rFont val="Arial"/>
        <family val="0"/>
        <charset val="1"/>
      </rPr>
      <t xml:space="preserve">695,890</t>
    </r>
    <r>
      <rPr>
        <sz val="9"/>
        <color rgb="FF595959"/>
        <rFont val="WenQuanYi Zen Hei"/>
        <family val="2"/>
      </rPr>
      <t xml:space="preserve">」は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日の誤記と判断）で </t>
    </r>
    <r>
      <rPr>
        <sz val="9"/>
        <color rgb="FF595959"/>
        <rFont val="Arial"/>
        <family val="0"/>
        <charset val="1"/>
      </rPr>
      <t xml:space="preserve">695,890 </t>
    </r>
    <r>
      <rPr>
        <sz val="9"/>
        <color rgb="FF595959"/>
        <rFont val="WenQuanYi Zen Hei"/>
        <family val="2"/>
      </rPr>
      <t xml:space="preserve">を採用。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</si>
  <si>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上の「合算」には計算・転記の誤りがある箇所あり（例：</t>
    </r>
    <r>
      <rPr>
        <sz val="9"/>
        <color rgb="FF595959"/>
        <rFont val="Arial"/>
        <family val="0"/>
        <charset val="1"/>
      </rPr>
      <t xml:space="preserve">7/12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6,413,938</t>
    </r>
    <r>
      <rPr>
        <sz val="9"/>
        <color rgb="FF595959"/>
        <rFont val="WenQuanYi Zen Hei"/>
        <family val="2"/>
      </rPr>
      <t xml:space="preserve">」、</t>
    </r>
    <r>
      <rPr>
        <sz val="9"/>
        <color rgb="FF595959"/>
        <rFont val="Arial"/>
        <family val="0"/>
        <charset val="1"/>
      </rPr>
      <t xml:space="preserve">7/20</t>
    </r>
    <r>
      <rPr>
        <sz val="9"/>
        <color rgb="FF595959"/>
        <rFont val="WenQuanYi Zen Hei"/>
        <family val="2"/>
      </rPr>
      <t xml:space="preserve">合算が前日比で不一致、</t>
    </r>
    <r>
      <rPr>
        <sz val="9"/>
        <color rgb="FF595959"/>
        <rFont val="Arial"/>
        <family val="0"/>
        <charset val="1"/>
      </rPr>
      <t xml:space="preserve">10/4</t>
    </r>
    <r>
      <rPr>
        <sz val="9"/>
        <color rgb="FF595959"/>
        <rFont val="WenQuanYi Zen Hei"/>
        <family val="2"/>
      </rPr>
      <t xml:space="preserve">合算が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円多い）。本表は日次の数値から集計し直しています。</t>
    </r>
  </si>
  <si>
    <t xml:space="preserve">・青字の売上は入力値。修正すると全集計に反映されます。</t>
  </si>
  <si>
    <t xml:space="preserve">日付</t>
  </si>
  <si>
    <t xml:space="preserve">曜日</t>
  </si>
  <si>
    <t xml:space="preserve">売上（円）</t>
  </si>
  <si>
    <t xml:space="preserve">報告者</t>
  </si>
  <si>
    <t xml:space="preserve">祝日</t>
  </si>
  <si>
    <t xml:space="preserve">備考</t>
  </si>
  <si>
    <t xml:space="preserve">かりん</t>
  </si>
  <si>
    <t xml:space="preserve">棚橋　拓馬</t>
  </si>
  <si>
    <t xml:space="preserve">もたい かずよし</t>
  </si>
  <si>
    <t xml:space="preserve">海の日</t>
  </si>
  <si>
    <t xml:space="preserve">大後戸あつし</t>
  </si>
  <si>
    <t xml:space="preserve">敬老の日</t>
  </si>
  <si>
    <t xml:space="preserve">国民の休日</t>
  </si>
  <si>
    <t xml:space="preserve">秋分の日</t>
  </si>
  <si>
    <t xml:space="preserve">スポーツの日</t>
  </si>
  <si>
    <t xml:space="preserve">日数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</si>
  <si>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日平均</t>
    </r>
  </si>
  <si>
    <r>
      <rPr>
        <sz val="11"/>
        <rFont val="WenQuanYi Zen Hei"/>
        <family val="2"/>
      </rPr>
      <t xml:space="preserve">訂正後の値（当初報告 </t>
    </r>
    <r>
      <rPr>
        <sz val="11"/>
        <rFont val="Arial"/>
        <family val="0"/>
        <charset val="1"/>
      </rPr>
      <t xml:space="preserve">965,890</t>
    </r>
    <r>
      <rPr>
        <sz val="11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</si>
</sst>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\日"/>
    <numFmt numFmtId="166" formatCode="#,##0"/>
    <numFmt numFmtId="167" formatCode="0.0%"/>
    <numFmt numFmtId="168" formatCode="0.00\倍"/>
    <numFmt numFmtId="169" formatCode="yyyy/mm/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2F5597"/>
        <bgColor rgb="FF595959"/>
      </patternFill>
    </fill>
    <fill>
      <patternFill patternType="solid">
        <fgColor rgb="FFC55A11"/>
        <bgColor rgb="FF993300"/>
      </patternFill>
    </fill>
    <fill>
      <patternFill patternType="solid">
        <fgColor rgb="FFE7E6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0"/>
  </cols>
  <sheetData>
    <row r="1" customFormat="false" ht="19.4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4" t="s">
        <v>5</v>
      </c>
      <c r="F3" s="4" t="s">
        <v>6</v>
      </c>
      <c r="G3" s="4" t="s">
        <v>7</v>
      </c>
      <c r="H3" s="2" t="s">
        <v>8</v>
      </c>
      <c r="I3" s="4" t="s">
        <v>9</v>
      </c>
    </row>
    <row r="4" customFormat="false" ht="15" hidden="false" customHeight="false" outlineLevel="0" collapsed="false">
      <c r="A4" s="5" t="s">
        <v>10</v>
      </c>
      <c r="B4" s="6" t="n">
        <f aca="false">COUNTIFS(平日!$A$2:$A$71,"&gt;="&amp;DATE(2026,6,1),平日!$A$2:$A$71,"&lt;"&amp;DATE(2026,7,1))</f>
        <v>7</v>
      </c>
      <c r="C4" s="7" t="n">
        <f aca="false">SUMIFS(平日!$C$2:$C$71,平日!$A$2:$A$71,"&gt;="&amp;DATE(2026,6,1),平日!$A$2:$A$71,"&lt;"&amp;DATE(2026,7,1))</f>
        <v>2666950</v>
      </c>
      <c r="D4" s="7" t="n">
        <f aca="false">IF(B4=0,0,C4/B4)</f>
        <v>380992.857142857</v>
      </c>
      <c r="E4" s="6" t="n">
        <f aca="false">COUNTIFS(土日!$A$2:$A$28,"&gt;="&amp;DATE(2026,6,1),土日!$A$2:$A$28,"&lt;"&amp;DATE(2026,7,1))</f>
        <v>3</v>
      </c>
      <c r="F4" s="7" t="n">
        <f aca="false">SUMIFS(土日!$C$2:$C$28,土日!$A$2:$A$28,"&gt;="&amp;DATE(2026,6,1),土日!$A$2:$A$28,"&lt;"&amp;DATE(2026,7,1))</f>
        <v>2059900</v>
      </c>
      <c r="G4" s="7" t="n">
        <f aca="false">IF(E4=0,0,F4/E4)</f>
        <v>686633.333333333</v>
      </c>
      <c r="H4" s="7" t="n">
        <f aca="false">C4+F4</f>
        <v>4726850</v>
      </c>
      <c r="I4" s="8" t="n">
        <f aca="false">IF(H4=0,0,F4/H4)</f>
        <v>0.435787046341644</v>
      </c>
    </row>
    <row r="5" customFormat="false" ht="15" hidden="false" customHeight="false" outlineLevel="0" collapsed="false">
      <c r="A5" s="5" t="s">
        <v>11</v>
      </c>
      <c r="B5" s="6" t="n">
        <f aca="false">COUNTIFS(平日!$A$2:$A$71,"&gt;="&amp;DATE(2026,7,1),平日!$A$2:$A$71,"&lt;"&amp;DATE(2026,8,1))</f>
        <v>19</v>
      </c>
      <c r="C5" s="7" t="n">
        <f aca="false">SUMIFS(平日!$C$2:$C$71,平日!$A$2:$A$71,"&gt;="&amp;DATE(2026,7,1),平日!$A$2:$A$71,"&lt;"&amp;DATE(2026,8,1))</f>
        <v>8004260</v>
      </c>
      <c r="D5" s="7" t="n">
        <f aca="false">IF(B5=0,0,C5/B5)</f>
        <v>421276.842105263</v>
      </c>
      <c r="E5" s="6" t="n">
        <f aca="false">COUNTIFS(土日!$A$2:$A$28,"&gt;="&amp;DATE(2026,7,1),土日!$A$2:$A$28,"&lt;"&amp;DATE(2026,8,1))</f>
        <v>8</v>
      </c>
      <c r="F5" s="7" t="n">
        <f aca="false">SUMIFS(土日!$C$2:$C$28,土日!$A$2:$A$28,"&gt;="&amp;DATE(2026,7,1),土日!$A$2:$A$28,"&lt;"&amp;DATE(2026,8,1))</f>
        <v>5812720</v>
      </c>
      <c r="G5" s="7" t="n">
        <f aca="false">IF(E5=0,0,F5/E5)</f>
        <v>726590</v>
      </c>
      <c r="H5" s="7" t="n">
        <f aca="false">C5+F5</f>
        <v>13816980</v>
      </c>
      <c r="I5" s="8" t="n">
        <f aca="false">IF(H5=0,0,F5/H5)</f>
        <v>0.420693957724481</v>
      </c>
    </row>
    <row r="6" customFormat="false" ht="15" hidden="false" customHeight="false" outlineLevel="0" collapsed="false">
      <c r="A6" s="5" t="s">
        <v>12</v>
      </c>
      <c r="B6" s="6" t="n">
        <f aca="false">COUNTIFS(平日!$A$2:$A$71,"&gt;="&amp;DATE(2026,8,1),平日!$A$2:$A$71,"&lt;"&amp;DATE(2026,9,1))</f>
        <v>11</v>
      </c>
      <c r="C6" s="7" t="n">
        <f aca="false">SUMIFS(平日!$C$2:$C$71,平日!$A$2:$A$71,"&gt;="&amp;DATE(2026,8,1),平日!$A$2:$A$71,"&lt;"&amp;DATE(2026,9,1))</f>
        <v>3704280</v>
      </c>
      <c r="D6" s="7" t="n">
        <f aca="false">IF(B6=0,0,C6/B6)</f>
        <v>336752.727272727</v>
      </c>
      <c r="E6" s="6" t="n">
        <f aca="false">COUNTIFS(土日!$A$2:$A$28,"&gt;="&amp;DATE(2026,8,1),土日!$A$2:$A$28,"&lt;"&amp;DATE(2026,9,1))</f>
        <v>4</v>
      </c>
      <c r="F6" s="7" t="n">
        <f aca="false">SUMIFS(土日!$C$2:$C$28,土日!$A$2:$A$28,"&gt;="&amp;DATE(2026,8,1),土日!$A$2:$A$28,"&lt;"&amp;DATE(2026,9,1))</f>
        <v>2408450</v>
      </c>
      <c r="G6" s="7" t="n">
        <f aca="false">IF(E6=0,0,F6/E6)</f>
        <v>602112.5</v>
      </c>
      <c r="H6" s="7" t="n">
        <f aca="false">C6+F6</f>
        <v>6112730</v>
      </c>
      <c r="I6" s="8" t="n">
        <f aca="false">IF(H6=0,0,F6/H6)</f>
        <v>0.394005624328246</v>
      </c>
    </row>
    <row r="7" customFormat="false" ht="15" hidden="false" customHeight="false" outlineLevel="0" collapsed="false">
      <c r="A7" s="5" t="s">
        <v>13</v>
      </c>
      <c r="B7" s="6" t="n">
        <f aca="false">COUNTIFS(平日!$A$2:$A$71,"&gt;="&amp;DATE(2026,9,1),平日!$A$2:$A$71,"&lt;"&amp;DATE(2026,10,1))</f>
        <v>22</v>
      </c>
      <c r="C7" s="7" t="n">
        <f aca="false">SUMIFS(平日!$C$2:$C$71,平日!$A$2:$A$71,"&gt;="&amp;DATE(2026,9,1),平日!$A$2:$A$71,"&lt;"&amp;DATE(2026,10,1))</f>
        <v>6149490</v>
      </c>
      <c r="D7" s="7" t="n">
        <f aca="false">IF(B7=0,0,C7/B7)</f>
        <v>279522.272727273</v>
      </c>
      <c r="E7" s="6" t="n">
        <f aca="false">COUNTIFS(土日!$A$2:$A$28,"&gt;="&amp;DATE(2026,9,1),土日!$A$2:$A$28,"&lt;"&amp;DATE(2026,10,1))</f>
        <v>8</v>
      </c>
      <c r="F7" s="7" t="n">
        <f aca="false">SUMIFS(土日!$C$2:$C$28,土日!$A$2:$A$28,"&gt;="&amp;DATE(2026,9,1),土日!$A$2:$A$28,"&lt;"&amp;DATE(2026,10,1))</f>
        <v>4303390</v>
      </c>
      <c r="G7" s="7" t="n">
        <f aca="false">IF(E7=0,0,F7/E7)</f>
        <v>537923.75</v>
      </c>
      <c r="H7" s="7" t="n">
        <f aca="false">C7+F7</f>
        <v>10452880</v>
      </c>
      <c r="I7" s="8" t="n">
        <f aca="false">IF(H7=0,0,F7/H7)</f>
        <v>0.411694193370631</v>
      </c>
    </row>
    <row r="8" customFormat="false" ht="15" hidden="false" customHeight="false" outlineLevel="0" collapsed="false">
      <c r="A8" s="5" t="s">
        <v>14</v>
      </c>
      <c r="B8" s="6" t="n">
        <f aca="false">COUNTIFS(平日!$A$2:$A$71,"&gt;="&amp;DATE(2026,10,1),平日!$A$2:$A$71,"&lt;"&amp;DATE(2026,11,1))</f>
        <v>11</v>
      </c>
      <c r="C8" s="7" t="n">
        <f aca="false">SUMIFS(平日!$C$2:$C$71,平日!$A$2:$A$71,"&gt;="&amp;DATE(2026,10,1),平日!$A$2:$A$71,"&lt;"&amp;DATE(2026,11,1))</f>
        <v>2533860</v>
      </c>
      <c r="D8" s="7" t="n">
        <f aca="false">IF(B8=0,0,C8/B8)</f>
        <v>230350.909090909</v>
      </c>
      <c r="E8" s="6" t="n">
        <f aca="false">COUNTIFS(土日!$A$2:$A$28,"&gt;="&amp;DATE(2026,10,1),土日!$A$2:$A$28,"&lt;"&amp;DATE(2026,11,1))</f>
        <v>4</v>
      </c>
      <c r="F8" s="7" t="n">
        <f aca="false">SUMIFS(土日!$C$2:$C$28,土日!$A$2:$A$28,"&gt;="&amp;DATE(2026,10,1),土日!$A$2:$A$28,"&lt;"&amp;DATE(2026,11,1))</f>
        <v>1937230</v>
      </c>
      <c r="G8" s="7" t="n">
        <f aca="false">IF(E8=0,0,F8/E8)</f>
        <v>484307.5</v>
      </c>
      <c r="H8" s="7" t="n">
        <f aca="false">C8+F8</f>
        <v>4471090</v>
      </c>
      <c r="I8" s="8" t="n">
        <f aca="false">IF(H8=0,0,F8/H8)</f>
        <v>0.433279133276226</v>
      </c>
    </row>
    <row r="9" customFormat="false" ht="15" hidden="false" customHeight="false" outlineLevel="0" collapsed="false">
      <c r="A9" s="9" t="s">
        <v>15</v>
      </c>
      <c r="B9" s="10" t="n">
        <f aca="false">SUM(B4:B8)</f>
        <v>70</v>
      </c>
      <c r="C9" s="11" t="n">
        <f aca="false">SUM(C4:C8)</f>
        <v>23058840</v>
      </c>
      <c r="D9" s="11" t="n">
        <f aca="false">IF(B9=0,0,C9/B9)</f>
        <v>329412</v>
      </c>
      <c r="E9" s="10" t="n">
        <f aca="false">SUM(E4:E8)</f>
        <v>27</v>
      </c>
      <c r="F9" s="11" t="n">
        <f aca="false">SUM(F4:F8)</f>
        <v>16521690</v>
      </c>
      <c r="G9" s="11" t="n">
        <f aca="false">IF(E9=0,0,F9/E9)</f>
        <v>611914.444444445</v>
      </c>
      <c r="H9" s="11" t="n">
        <f aca="false">SUM(H4:H8)</f>
        <v>39580530</v>
      </c>
      <c r="I9" s="12" t="n">
        <f aca="false">IF(H9=0,0,F9/H9)</f>
        <v>0.417419625255144</v>
      </c>
    </row>
    <row r="10" customFormat="false" ht="15" hidden="false" customHeight="false" outlineLevel="0" collapsed="false">
      <c r="C10" s="13" t="s">
        <v>16</v>
      </c>
      <c r="D10" s="14" t="n">
        <f aca="false">IF(G9=0,0,G9/D9)</f>
        <v>1.85759609378057</v>
      </c>
    </row>
    <row r="12" customFormat="false" ht="15" hidden="false" customHeight="false" outlineLevel="0" collapsed="false">
      <c r="A12" s="15" t="s">
        <v>17</v>
      </c>
    </row>
    <row r="13" customFormat="false" ht="15" hidden="false" customHeight="false" outlineLevel="0" collapsed="false">
      <c r="A13" s="16" t="s">
        <v>18</v>
      </c>
    </row>
    <row r="14" customFormat="false" ht="15" hidden="false" customHeight="false" outlineLevel="0" collapsed="false">
      <c r="A14" s="16" t="s">
        <v>19</v>
      </c>
    </row>
    <row r="15" customFormat="false" ht="15" hidden="false" customHeight="false" outlineLevel="0" collapsed="false">
      <c r="A15" s="16" t="s">
        <v>20</v>
      </c>
    </row>
    <row r="16" customFormat="false" ht="15" hidden="false" customHeight="false" outlineLevel="0" collapsed="false">
      <c r="A16" s="16" t="s">
        <v>21</v>
      </c>
    </row>
    <row r="17" customFormat="false" ht="15" hidden="false" customHeight="false" outlineLevel="0" collapsed="false">
      <c r="A17" s="16" t="s">
        <v>22</v>
      </c>
    </row>
    <row r="18" customFormat="false" ht="15" hidden="false" customHeight="false" outlineLevel="0" collapsed="false">
      <c r="A18" s="16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17" t="s">
        <v>24</v>
      </c>
      <c r="B1" s="17" t="s">
        <v>25</v>
      </c>
      <c r="C1" s="17" t="s">
        <v>26</v>
      </c>
      <c r="D1" s="17" t="s">
        <v>27</v>
      </c>
      <c r="E1" s="17" t="s">
        <v>28</v>
      </c>
      <c r="F1" s="17" t="s">
        <v>29</v>
      </c>
    </row>
    <row r="2" customFormat="false" ht="15" hidden="false" customHeight="false" outlineLevel="0" collapsed="false">
      <c r="A2" s="18" t="n">
        <v>46195</v>
      </c>
      <c r="B2" s="19" t="str">
        <f aca="false">MID("日月火水木金土",WEEKDAY(A2),1)</f>
        <v>月</v>
      </c>
      <c r="C2" s="20" t="n">
        <v>386840</v>
      </c>
      <c r="D2" s="21" t="s">
        <v>30</v>
      </c>
      <c r="E2" s="5"/>
      <c r="F2" s="5"/>
    </row>
    <row r="3" customFormat="false" ht="15" hidden="false" customHeight="false" outlineLevel="0" collapsed="false">
      <c r="A3" s="18" t="n">
        <v>46196</v>
      </c>
      <c r="B3" s="19" t="str">
        <f aca="false">MID("日月火水木金土",WEEKDAY(A3),1)</f>
        <v>火</v>
      </c>
      <c r="C3" s="20" t="n">
        <v>377840</v>
      </c>
      <c r="D3" s="21" t="s">
        <v>30</v>
      </c>
      <c r="E3" s="5"/>
      <c r="F3" s="5"/>
    </row>
    <row r="4" customFormat="false" ht="15" hidden="false" customHeight="false" outlineLevel="0" collapsed="false">
      <c r="A4" s="18" t="n">
        <v>46197</v>
      </c>
      <c r="B4" s="19" t="str">
        <f aca="false">MID("日月火水木金土",WEEKDAY(A4),1)</f>
        <v>水</v>
      </c>
      <c r="C4" s="20" t="n">
        <v>428620</v>
      </c>
      <c r="D4" s="21" t="s">
        <v>30</v>
      </c>
      <c r="E4" s="5"/>
      <c r="F4" s="5"/>
    </row>
    <row r="5" customFormat="false" ht="15" hidden="false" customHeight="false" outlineLevel="0" collapsed="false">
      <c r="A5" s="18" t="n">
        <v>46198</v>
      </c>
      <c r="B5" s="19" t="str">
        <f aca="false">MID("日月火水木金土",WEEKDAY(A5),1)</f>
        <v>木</v>
      </c>
      <c r="C5" s="20" t="n">
        <v>374210</v>
      </c>
      <c r="D5" s="21" t="s">
        <v>31</v>
      </c>
      <c r="E5" s="5"/>
      <c r="F5" s="5"/>
    </row>
    <row r="6" customFormat="false" ht="15" hidden="false" customHeight="false" outlineLevel="0" collapsed="false">
      <c r="A6" s="18" t="n">
        <v>46199</v>
      </c>
      <c r="B6" s="19" t="str">
        <f aca="false">MID("日月火水木金土",WEEKDAY(A6),1)</f>
        <v>金</v>
      </c>
      <c r="C6" s="20" t="n">
        <v>459300</v>
      </c>
      <c r="D6" s="21" t="s">
        <v>31</v>
      </c>
      <c r="E6" s="5"/>
      <c r="F6" s="5"/>
    </row>
    <row r="7" customFormat="false" ht="15" hidden="false" customHeight="false" outlineLevel="0" collapsed="false">
      <c r="A7" s="18" t="n">
        <v>46202</v>
      </c>
      <c r="B7" s="19" t="str">
        <f aca="false">MID("日月火水木金土",WEEKDAY(A7),1)</f>
        <v>月</v>
      </c>
      <c r="C7" s="20" t="n">
        <v>335720</v>
      </c>
      <c r="D7" s="21" t="s">
        <v>31</v>
      </c>
      <c r="E7" s="5"/>
      <c r="F7" s="5"/>
    </row>
    <row r="8" customFormat="false" ht="15" hidden="false" customHeight="false" outlineLevel="0" collapsed="false">
      <c r="A8" s="18" t="n">
        <v>46203</v>
      </c>
      <c r="B8" s="19" t="str">
        <f aca="false">MID("日月火水木金土",WEEKDAY(A8),1)</f>
        <v>火</v>
      </c>
      <c r="C8" s="20" t="n">
        <v>304420</v>
      </c>
      <c r="D8" s="21" t="s">
        <v>32</v>
      </c>
      <c r="E8" s="5"/>
      <c r="F8" s="5"/>
    </row>
    <row r="9" customFormat="false" ht="15" hidden="false" customHeight="false" outlineLevel="0" collapsed="false">
      <c r="A9" s="18" t="n">
        <v>46204</v>
      </c>
      <c r="B9" s="19" t="str">
        <f aca="false">MID("日月火水木金土",WEEKDAY(A9),1)</f>
        <v>水</v>
      </c>
      <c r="C9" s="20" t="n">
        <v>454040</v>
      </c>
      <c r="D9" s="21" t="s">
        <v>30</v>
      </c>
      <c r="E9" s="5"/>
      <c r="F9" s="5"/>
    </row>
    <row r="10" customFormat="false" ht="15" hidden="false" customHeight="false" outlineLevel="0" collapsed="false">
      <c r="A10" s="18" t="n">
        <v>46205</v>
      </c>
      <c r="B10" s="19" t="str">
        <f aca="false">MID("日月火水木金土",WEEKDAY(A10),1)</f>
        <v>木</v>
      </c>
      <c r="C10" s="20" t="n">
        <v>421760</v>
      </c>
      <c r="D10" s="21" t="s">
        <v>32</v>
      </c>
      <c r="E10" s="5"/>
      <c r="F10" s="5"/>
    </row>
    <row r="11" customFormat="false" ht="15" hidden="false" customHeight="false" outlineLevel="0" collapsed="false">
      <c r="A11" s="18" t="n">
        <v>46206</v>
      </c>
      <c r="B11" s="19" t="str">
        <f aca="false">MID("日月火水木金土",WEEKDAY(A11),1)</f>
        <v>金</v>
      </c>
      <c r="C11" s="20" t="n">
        <v>526640</v>
      </c>
      <c r="D11" s="21" t="s">
        <v>31</v>
      </c>
      <c r="E11" s="5"/>
      <c r="F11" s="5"/>
    </row>
    <row r="12" customFormat="false" ht="15" hidden="false" customHeight="false" outlineLevel="0" collapsed="false">
      <c r="A12" s="18" t="n">
        <v>46209</v>
      </c>
      <c r="B12" s="19" t="str">
        <f aca="false">MID("日月火水木金土",WEEKDAY(A12),1)</f>
        <v>月</v>
      </c>
      <c r="C12" s="20" t="n">
        <v>294280</v>
      </c>
      <c r="D12" s="21" t="s">
        <v>30</v>
      </c>
      <c r="E12" s="5"/>
      <c r="F12" s="5"/>
    </row>
    <row r="13" customFormat="false" ht="15" hidden="false" customHeight="false" outlineLevel="0" collapsed="false">
      <c r="A13" s="18" t="n">
        <v>46210</v>
      </c>
      <c r="B13" s="19" t="str">
        <f aca="false">MID("日月火水木金土",WEEKDAY(A13),1)</f>
        <v>火</v>
      </c>
      <c r="C13" s="20" t="n">
        <v>332760</v>
      </c>
      <c r="D13" s="21" t="s">
        <v>30</v>
      </c>
      <c r="E13" s="5"/>
      <c r="F13" s="5"/>
    </row>
    <row r="14" customFormat="false" ht="15" hidden="false" customHeight="false" outlineLevel="0" collapsed="false">
      <c r="A14" s="18" t="n">
        <v>46211</v>
      </c>
      <c r="B14" s="19" t="str">
        <f aca="false">MID("日月火水木金土",WEEKDAY(A14),1)</f>
        <v>水</v>
      </c>
      <c r="C14" s="20" t="n">
        <v>375800</v>
      </c>
      <c r="D14" s="21" t="s">
        <v>32</v>
      </c>
      <c r="E14" s="5"/>
      <c r="F14" s="5"/>
    </row>
    <row r="15" customFormat="false" ht="15" hidden="false" customHeight="false" outlineLevel="0" collapsed="false">
      <c r="A15" s="18" t="n">
        <v>46212</v>
      </c>
      <c r="B15" s="19" t="str">
        <f aca="false">MID("日月火水木金土",WEEKDAY(A15),1)</f>
        <v>木</v>
      </c>
      <c r="C15" s="20" t="n">
        <v>425290</v>
      </c>
      <c r="D15" s="21" t="s">
        <v>31</v>
      </c>
      <c r="E15" s="5"/>
      <c r="F15" s="5"/>
    </row>
    <row r="16" customFormat="false" ht="15" hidden="false" customHeight="false" outlineLevel="0" collapsed="false">
      <c r="A16" s="18" t="n">
        <v>46213</v>
      </c>
      <c r="B16" s="19" t="str">
        <f aca="false">MID("日月火水木金土",WEEKDAY(A16),1)</f>
        <v>金</v>
      </c>
      <c r="C16" s="20" t="n">
        <v>474820</v>
      </c>
      <c r="D16" s="21" t="s">
        <v>30</v>
      </c>
      <c r="E16" s="5"/>
      <c r="F16" s="5"/>
    </row>
    <row r="17" customFormat="false" ht="15" hidden="false" customHeight="false" outlineLevel="0" collapsed="false">
      <c r="A17" s="18" t="n">
        <v>46216</v>
      </c>
      <c r="B17" s="19" t="str">
        <f aca="false">MID("日月火水木金土",WEEKDAY(A17),1)</f>
        <v>月</v>
      </c>
      <c r="C17" s="20" t="n">
        <v>372650</v>
      </c>
      <c r="D17" s="21" t="s">
        <v>32</v>
      </c>
      <c r="E17" s="5"/>
      <c r="F17" s="5"/>
    </row>
    <row r="18" customFormat="false" ht="15" hidden="false" customHeight="false" outlineLevel="0" collapsed="false">
      <c r="A18" s="18" t="n">
        <v>46217</v>
      </c>
      <c r="B18" s="19" t="str">
        <f aca="false">MID("日月火水木金土",WEEKDAY(A18),1)</f>
        <v>火</v>
      </c>
      <c r="C18" s="20" t="n">
        <v>289840</v>
      </c>
      <c r="D18" s="21" t="s">
        <v>30</v>
      </c>
      <c r="E18" s="5"/>
      <c r="F18" s="5"/>
    </row>
    <row r="19" customFormat="false" ht="15" hidden="false" customHeight="false" outlineLevel="0" collapsed="false">
      <c r="A19" s="18" t="n">
        <v>46218</v>
      </c>
      <c r="B19" s="19" t="str">
        <f aca="false">MID("日月火水木金土",WEEKDAY(A19),1)</f>
        <v>水</v>
      </c>
      <c r="C19" s="20" t="n">
        <v>418780</v>
      </c>
      <c r="D19" s="21" t="s">
        <v>32</v>
      </c>
      <c r="E19" s="5"/>
      <c r="F19" s="5"/>
    </row>
    <row r="20" customFormat="false" ht="15" hidden="false" customHeight="false" outlineLevel="0" collapsed="false">
      <c r="A20" s="18" t="n">
        <v>46219</v>
      </c>
      <c r="B20" s="19" t="str">
        <f aca="false">MID("日月火水木金土",WEEKDAY(A20),1)</f>
        <v>木</v>
      </c>
      <c r="C20" s="20" t="n">
        <v>459900</v>
      </c>
      <c r="D20" s="21" t="s">
        <v>32</v>
      </c>
      <c r="E20" s="5"/>
      <c r="F20" s="5"/>
    </row>
    <row r="21" customFormat="false" ht="15" hidden="false" customHeight="false" outlineLevel="0" collapsed="false">
      <c r="A21" s="18" t="n">
        <v>46220</v>
      </c>
      <c r="B21" s="19" t="str">
        <f aca="false">MID("日月火水木金土",WEEKDAY(A21),1)</f>
        <v>金</v>
      </c>
      <c r="C21" s="20" t="n">
        <v>493180</v>
      </c>
      <c r="D21" s="21" t="s">
        <v>32</v>
      </c>
      <c r="E21" s="5"/>
      <c r="F21" s="5"/>
    </row>
    <row r="22" customFormat="false" ht="15" hidden="false" customHeight="false" outlineLevel="0" collapsed="false">
      <c r="A22" s="18" t="n">
        <v>46223</v>
      </c>
      <c r="B22" s="19" t="str">
        <f aca="false">MID("日月火水木金土",WEEKDAY(A22),1)</f>
        <v>月</v>
      </c>
      <c r="C22" s="20" t="n">
        <v>597070</v>
      </c>
      <c r="D22" s="21" t="s">
        <v>31</v>
      </c>
      <c r="E22" s="21" t="s">
        <v>33</v>
      </c>
      <c r="F22" s="5"/>
    </row>
    <row r="23" customFormat="false" ht="15" hidden="false" customHeight="false" outlineLevel="0" collapsed="false">
      <c r="A23" s="18" t="n">
        <v>46230</v>
      </c>
      <c r="B23" s="19" t="str">
        <f aca="false">MID("日月火水木金土",WEEKDAY(A23),1)</f>
        <v>月</v>
      </c>
      <c r="C23" s="20" t="n">
        <v>395610</v>
      </c>
      <c r="D23" s="21" t="s">
        <v>31</v>
      </c>
      <c r="E23" s="5"/>
      <c r="F23" s="5"/>
    </row>
    <row r="24" customFormat="false" ht="15" hidden="false" customHeight="false" outlineLevel="0" collapsed="false">
      <c r="A24" s="18" t="n">
        <v>46231</v>
      </c>
      <c r="B24" s="19" t="str">
        <f aca="false">MID("日月火水木金土",WEEKDAY(A24),1)</f>
        <v>火</v>
      </c>
      <c r="C24" s="20" t="n">
        <v>357540</v>
      </c>
      <c r="D24" s="21" t="s">
        <v>34</v>
      </c>
      <c r="E24" s="5"/>
      <c r="F24" s="5"/>
    </row>
    <row r="25" customFormat="false" ht="15" hidden="false" customHeight="false" outlineLevel="0" collapsed="false">
      <c r="A25" s="18" t="n">
        <v>46232</v>
      </c>
      <c r="B25" s="19" t="str">
        <f aca="false">MID("日月火水木金土",WEEKDAY(A25),1)</f>
        <v>水</v>
      </c>
      <c r="C25" s="20" t="n">
        <v>383270</v>
      </c>
      <c r="D25" s="21" t="s">
        <v>31</v>
      </c>
      <c r="E25" s="5"/>
      <c r="F25" s="5"/>
    </row>
    <row r="26" customFormat="false" ht="15" hidden="false" customHeight="false" outlineLevel="0" collapsed="false">
      <c r="A26" s="18" t="n">
        <v>46233</v>
      </c>
      <c r="B26" s="19" t="str">
        <f aca="false">MID("日月火水木金土",WEEKDAY(A26),1)</f>
        <v>木</v>
      </c>
      <c r="C26" s="20" t="n">
        <v>397380</v>
      </c>
      <c r="D26" s="21" t="s">
        <v>32</v>
      </c>
      <c r="E26" s="5"/>
      <c r="F26" s="5"/>
    </row>
    <row r="27" customFormat="false" ht="15" hidden="false" customHeight="false" outlineLevel="0" collapsed="false">
      <c r="A27" s="18" t="n">
        <v>46234</v>
      </c>
      <c r="B27" s="19" t="str">
        <f aca="false">MID("日月火水木金土",WEEKDAY(A27),1)</f>
        <v>金</v>
      </c>
      <c r="C27" s="20" t="n">
        <v>533650</v>
      </c>
      <c r="D27" s="21" t="s">
        <v>34</v>
      </c>
      <c r="E27" s="5"/>
      <c r="F27" s="5"/>
    </row>
    <row r="28" customFormat="false" ht="15" hidden="false" customHeight="false" outlineLevel="0" collapsed="false">
      <c r="A28" s="18" t="n">
        <v>46237</v>
      </c>
      <c r="B28" s="19" t="str">
        <f aca="false">MID("日月火水木金土",WEEKDAY(A28),1)</f>
        <v>月</v>
      </c>
      <c r="C28" s="20" t="n">
        <v>363910</v>
      </c>
      <c r="D28" s="21" t="s">
        <v>32</v>
      </c>
      <c r="E28" s="5"/>
      <c r="F28" s="5"/>
    </row>
    <row r="29" customFormat="false" ht="15" hidden="false" customHeight="false" outlineLevel="0" collapsed="false">
      <c r="A29" s="18" t="n">
        <v>46238</v>
      </c>
      <c r="B29" s="19" t="str">
        <f aca="false">MID("日月火水木金土",WEEKDAY(A29),1)</f>
        <v>火</v>
      </c>
      <c r="C29" s="20" t="n">
        <v>360990</v>
      </c>
      <c r="D29" s="21" t="s">
        <v>34</v>
      </c>
      <c r="E29" s="5"/>
      <c r="F29" s="5"/>
    </row>
    <row r="30" customFormat="false" ht="15" hidden="false" customHeight="false" outlineLevel="0" collapsed="false">
      <c r="A30" s="18" t="n">
        <v>46239</v>
      </c>
      <c r="B30" s="19" t="str">
        <f aca="false">MID("日月火水木金土",WEEKDAY(A30),1)</f>
        <v>水</v>
      </c>
      <c r="C30" s="20" t="n">
        <v>383160</v>
      </c>
      <c r="D30" s="21" t="s">
        <v>34</v>
      </c>
      <c r="E30" s="5"/>
      <c r="F30" s="5"/>
    </row>
    <row r="31" customFormat="false" ht="15" hidden="false" customHeight="false" outlineLevel="0" collapsed="false">
      <c r="A31" s="18" t="n">
        <v>46240</v>
      </c>
      <c r="B31" s="19" t="str">
        <f aca="false">MID("日月火水木金土",WEEKDAY(A31),1)</f>
        <v>木</v>
      </c>
      <c r="C31" s="20" t="n">
        <v>388830</v>
      </c>
      <c r="D31" s="21" t="s">
        <v>32</v>
      </c>
      <c r="E31" s="5"/>
      <c r="F31" s="5"/>
    </row>
    <row r="32" customFormat="false" ht="15" hidden="false" customHeight="false" outlineLevel="0" collapsed="false">
      <c r="A32" s="18" t="n">
        <v>46241</v>
      </c>
      <c r="B32" s="19" t="str">
        <f aca="false">MID("日月火水木金土",WEEKDAY(A32),1)</f>
        <v>金</v>
      </c>
      <c r="C32" s="20" t="n">
        <v>449020</v>
      </c>
      <c r="D32" s="21" t="s">
        <v>32</v>
      </c>
      <c r="E32" s="5"/>
      <c r="F32" s="5"/>
    </row>
    <row r="33" customFormat="false" ht="15" hidden="false" customHeight="false" outlineLevel="0" collapsed="false">
      <c r="A33" s="18" t="n">
        <v>46258</v>
      </c>
      <c r="B33" s="19" t="str">
        <f aca="false">MID("日月火水木金土",WEEKDAY(A33),1)</f>
        <v>月</v>
      </c>
      <c r="C33" s="20" t="n">
        <v>268730</v>
      </c>
      <c r="D33" s="21" t="s">
        <v>32</v>
      </c>
      <c r="E33" s="5"/>
      <c r="F33" s="5"/>
    </row>
    <row r="34" customFormat="false" ht="15" hidden="false" customHeight="false" outlineLevel="0" collapsed="false">
      <c r="A34" s="18" t="n">
        <v>46259</v>
      </c>
      <c r="B34" s="19" t="str">
        <f aca="false">MID("日月火水木金土",WEEKDAY(A34),1)</f>
        <v>火</v>
      </c>
      <c r="C34" s="20" t="n">
        <v>256280</v>
      </c>
      <c r="D34" s="21" t="s">
        <v>32</v>
      </c>
      <c r="E34" s="5"/>
      <c r="F34" s="5"/>
    </row>
    <row r="35" customFormat="false" ht="15" hidden="false" customHeight="false" outlineLevel="0" collapsed="false">
      <c r="A35" s="18" t="n">
        <v>46260</v>
      </c>
      <c r="B35" s="19" t="str">
        <f aca="false">MID("日月火水木金土",WEEKDAY(A35),1)</f>
        <v>水</v>
      </c>
      <c r="C35" s="20" t="n">
        <v>351140</v>
      </c>
      <c r="D35" s="21" t="s">
        <v>34</v>
      </c>
      <c r="E35" s="5"/>
      <c r="F35" s="5"/>
    </row>
    <row r="36" customFormat="false" ht="15" hidden="false" customHeight="false" outlineLevel="0" collapsed="false">
      <c r="A36" s="18" t="n">
        <v>46261</v>
      </c>
      <c r="B36" s="19" t="str">
        <f aca="false">MID("日月火水木金土",WEEKDAY(A36),1)</f>
        <v>木</v>
      </c>
      <c r="C36" s="20" t="n">
        <v>299580</v>
      </c>
      <c r="D36" s="21" t="s">
        <v>30</v>
      </c>
      <c r="E36" s="5"/>
      <c r="F36" s="5"/>
    </row>
    <row r="37" customFormat="false" ht="15" hidden="false" customHeight="false" outlineLevel="0" collapsed="false">
      <c r="A37" s="18" t="n">
        <v>46262</v>
      </c>
      <c r="B37" s="19" t="str">
        <f aca="false">MID("日月火水木金土",WEEKDAY(A37),1)</f>
        <v>金</v>
      </c>
      <c r="C37" s="20" t="n">
        <v>362970</v>
      </c>
      <c r="D37" s="21" t="s">
        <v>34</v>
      </c>
      <c r="E37" s="5"/>
      <c r="F37" s="5"/>
    </row>
    <row r="38" customFormat="false" ht="15" hidden="false" customHeight="false" outlineLevel="0" collapsed="false">
      <c r="A38" s="18" t="n">
        <v>46265</v>
      </c>
      <c r="B38" s="19" t="str">
        <f aca="false">MID("日月火水木金土",WEEKDAY(A38),1)</f>
        <v>月</v>
      </c>
      <c r="C38" s="20" t="n">
        <v>219670</v>
      </c>
      <c r="D38" s="21" t="s">
        <v>34</v>
      </c>
      <c r="E38" s="5"/>
      <c r="F38" s="5"/>
    </row>
    <row r="39" customFormat="false" ht="15" hidden="false" customHeight="false" outlineLevel="0" collapsed="false">
      <c r="A39" s="18" t="n">
        <v>46266</v>
      </c>
      <c r="B39" s="19" t="str">
        <f aca="false">MID("日月火水木金土",WEEKDAY(A39),1)</f>
        <v>火</v>
      </c>
      <c r="C39" s="20" t="n">
        <v>228460</v>
      </c>
      <c r="D39" s="21" t="s">
        <v>34</v>
      </c>
      <c r="E39" s="5"/>
      <c r="F39" s="5"/>
    </row>
    <row r="40" customFormat="false" ht="15" hidden="false" customHeight="false" outlineLevel="0" collapsed="false">
      <c r="A40" s="18" t="n">
        <v>46267</v>
      </c>
      <c r="B40" s="19" t="str">
        <f aca="false">MID("日月火水木金土",WEEKDAY(A40),1)</f>
        <v>水</v>
      </c>
      <c r="C40" s="20" t="n">
        <v>214940</v>
      </c>
      <c r="D40" s="21" t="s">
        <v>30</v>
      </c>
      <c r="E40" s="5"/>
      <c r="F40" s="5"/>
    </row>
    <row r="41" customFormat="false" ht="15" hidden="false" customHeight="false" outlineLevel="0" collapsed="false">
      <c r="A41" s="18" t="n">
        <v>46268</v>
      </c>
      <c r="B41" s="19" t="str">
        <f aca="false">MID("日月火水木金土",WEEKDAY(A41),1)</f>
        <v>木</v>
      </c>
      <c r="C41" s="20" t="n">
        <v>263030</v>
      </c>
      <c r="D41" s="21" t="s">
        <v>34</v>
      </c>
      <c r="E41" s="5"/>
      <c r="F41" s="5"/>
    </row>
    <row r="42" customFormat="false" ht="15" hidden="false" customHeight="false" outlineLevel="0" collapsed="false">
      <c r="A42" s="18" t="n">
        <v>46269</v>
      </c>
      <c r="B42" s="19" t="str">
        <f aca="false">MID("日月火水木金土",WEEKDAY(A42),1)</f>
        <v>金</v>
      </c>
      <c r="C42" s="20" t="n">
        <v>212930</v>
      </c>
      <c r="D42" s="21" t="s">
        <v>34</v>
      </c>
      <c r="E42" s="5"/>
      <c r="F42" s="5"/>
    </row>
    <row r="43" customFormat="false" ht="15" hidden="false" customHeight="false" outlineLevel="0" collapsed="false">
      <c r="A43" s="18" t="n">
        <v>46272</v>
      </c>
      <c r="B43" s="19" t="str">
        <f aca="false">MID("日月火水木金土",WEEKDAY(A43),1)</f>
        <v>月</v>
      </c>
      <c r="C43" s="20" t="n">
        <v>207730</v>
      </c>
      <c r="D43" s="21" t="s">
        <v>32</v>
      </c>
      <c r="E43" s="5"/>
      <c r="F43" s="5"/>
    </row>
    <row r="44" customFormat="false" ht="15" hidden="false" customHeight="false" outlineLevel="0" collapsed="false">
      <c r="A44" s="18" t="n">
        <v>46273</v>
      </c>
      <c r="B44" s="19" t="str">
        <f aca="false">MID("日月火水木金土",WEEKDAY(A44),1)</f>
        <v>火</v>
      </c>
      <c r="C44" s="20" t="n">
        <v>335170</v>
      </c>
      <c r="D44" s="21" t="s">
        <v>32</v>
      </c>
      <c r="E44" s="5"/>
      <c r="F44" s="5"/>
    </row>
    <row r="45" customFormat="false" ht="15" hidden="false" customHeight="false" outlineLevel="0" collapsed="false">
      <c r="A45" s="18" t="n">
        <v>46274</v>
      </c>
      <c r="B45" s="19" t="str">
        <f aca="false">MID("日月火水木金土",WEEKDAY(A45),1)</f>
        <v>水</v>
      </c>
      <c r="C45" s="20" t="n">
        <v>212760</v>
      </c>
      <c r="D45" s="21" t="s">
        <v>34</v>
      </c>
      <c r="E45" s="5"/>
      <c r="F45" s="5"/>
    </row>
    <row r="46" customFormat="false" ht="15" hidden="false" customHeight="false" outlineLevel="0" collapsed="false">
      <c r="A46" s="18" t="n">
        <v>46275</v>
      </c>
      <c r="B46" s="19" t="str">
        <f aca="false">MID("日月火水木金土",WEEKDAY(A46),1)</f>
        <v>木</v>
      </c>
      <c r="C46" s="20" t="n">
        <v>294500</v>
      </c>
      <c r="D46" s="21" t="s">
        <v>34</v>
      </c>
      <c r="E46" s="5"/>
      <c r="F46" s="5"/>
    </row>
    <row r="47" customFormat="false" ht="15" hidden="false" customHeight="false" outlineLevel="0" collapsed="false">
      <c r="A47" s="18" t="n">
        <v>46276</v>
      </c>
      <c r="B47" s="19" t="str">
        <f aca="false">MID("日月火水木金土",WEEKDAY(A47),1)</f>
        <v>金</v>
      </c>
      <c r="C47" s="20" t="n">
        <v>320850</v>
      </c>
      <c r="D47" s="21" t="s">
        <v>32</v>
      </c>
      <c r="E47" s="5"/>
      <c r="F47" s="5"/>
    </row>
    <row r="48" customFormat="false" ht="15" hidden="false" customHeight="false" outlineLevel="0" collapsed="false">
      <c r="A48" s="18" t="n">
        <v>46279</v>
      </c>
      <c r="B48" s="19" t="str">
        <f aca="false">MID("日月火水木金土",WEEKDAY(A48),1)</f>
        <v>月</v>
      </c>
      <c r="C48" s="20" t="n">
        <v>215510</v>
      </c>
      <c r="D48" s="21" t="s">
        <v>34</v>
      </c>
      <c r="E48" s="5"/>
      <c r="F48" s="5"/>
    </row>
    <row r="49" customFormat="false" ht="15" hidden="false" customHeight="false" outlineLevel="0" collapsed="false">
      <c r="A49" s="18" t="n">
        <v>46280</v>
      </c>
      <c r="B49" s="19" t="str">
        <f aca="false">MID("日月火水木金土",WEEKDAY(A49),1)</f>
        <v>火</v>
      </c>
      <c r="C49" s="20" t="n">
        <v>167060</v>
      </c>
      <c r="D49" s="21" t="s">
        <v>30</v>
      </c>
      <c r="E49" s="5"/>
      <c r="F49" s="5"/>
    </row>
    <row r="50" customFormat="false" ht="15" hidden="false" customHeight="false" outlineLevel="0" collapsed="false">
      <c r="A50" s="18" t="n">
        <v>46281</v>
      </c>
      <c r="B50" s="19" t="str">
        <f aca="false">MID("日月火水木金土",WEEKDAY(A50),1)</f>
        <v>水</v>
      </c>
      <c r="C50" s="20" t="n">
        <v>392050</v>
      </c>
      <c r="D50" s="21" t="s">
        <v>34</v>
      </c>
      <c r="E50" s="5"/>
      <c r="F50" s="5"/>
    </row>
    <row r="51" customFormat="false" ht="15" hidden="false" customHeight="false" outlineLevel="0" collapsed="false">
      <c r="A51" s="18" t="n">
        <v>46282</v>
      </c>
      <c r="B51" s="19" t="str">
        <f aca="false">MID("日月火水木金土",WEEKDAY(A51),1)</f>
        <v>木</v>
      </c>
      <c r="C51" s="20" t="n">
        <v>259100</v>
      </c>
      <c r="D51" s="21" t="s">
        <v>32</v>
      </c>
      <c r="E51" s="5"/>
      <c r="F51" s="5"/>
    </row>
    <row r="52" customFormat="false" ht="15" hidden="false" customHeight="false" outlineLevel="0" collapsed="false">
      <c r="A52" s="18" t="n">
        <v>46283</v>
      </c>
      <c r="B52" s="19" t="str">
        <f aca="false">MID("日月火水木金土",WEEKDAY(A52),1)</f>
        <v>金</v>
      </c>
      <c r="C52" s="20" t="n">
        <v>278990</v>
      </c>
      <c r="D52" s="21" t="s">
        <v>32</v>
      </c>
      <c r="E52" s="5"/>
      <c r="F52" s="5"/>
    </row>
    <row r="53" customFormat="false" ht="15" hidden="false" customHeight="false" outlineLevel="0" collapsed="false">
      <c r="A53" s="18" t="n">
        <v>46286</v>
      </c>
      <c r="B53" s="19" t="str">
        <f aca="false">MID("日月火水木金土",WEEKDAY(A53),1)</f>
        <v>月</v>
      </c>
      <c r="C53" s="20" t="n">
        <v>606440</v>
      </c>
      <c r="D53" s="21" t="s">
        <v>34</v>
      </c>
      <c r="E53" s="21" t="s">
        <v>35</v>
      </c>
      <c r="F53" s="5"/>
    </row>
    <row r="54" customFormat="false" ht="15" hidden="false" customHeight="false" outlineLevel="0" collapsed="false">
      <c r="A54" s="18" t="n">
        <v>46287</v>
      </c>
      <c r="B54" s="19" t="str">
        <f aca="false">MID("日月火水木金土",WEEKDAY(A54),1)</f>
        <v>火</v>
      </c>
      <c r="C54" s="20" t="n">
        <v>471650</v>
      </c>
      <c r="D54" s="21" t="s">
        <v>31</v>
      </c>
      <c r="E54" s="21" t="s">
        <v>36</v>
      </c>
      <c r="F54" s="5"/>
    </row>
    <row r="55" customFormat="false" ht="15" hidden="false" customHeight="false" outlineLevel="0" collapsed="false">
      <c r="A55" s="18" t="n">
        <v>46288</v>
      </c>
      <c r="B55" s="19" t="str">
        <f aca="false">MID("日月火水木金土",WEEKDAY(A55),1)</f>
        <v>水</v>
      </c>
      <c r="C55" s="20" t="n">
        <v>425490</v>
      </c>
      <c r="D55" s="21" t="s">
        <v>34</v>
      </c>
      <c r="E55" s="21" t="s">
        <v>37</v>
      </c>
      <c r="F55" s="5"/>
    </row>
    <row r="56" customFormat="false" ht="15" hidden="false" customHeight="false" outlineLevel="0" collapsed="false">
      <c r="A56" s="18" t="n">
        <v>46289</v>
      </c>
      <c r="B56" s="19" t="str">
        <f aca="false">MID("日月火水木金土",WEEKDAY(A56),1)</f>
        <v>木</v>
      </c>
      <c r="C56" s="20" t="n">
        <v>223490</v>
      </c>
      <c r="D56" s="21" t="s">
        <v>32</v>
      </c>
      <c r="E56" s="5"/>
      <c r="F56" s="5"/>
    </row>
    <row r="57" customFormat="false" ht="15" hidden="false" customHeight="false" outlineLevel="0" collapsed="false">
      <c r="A57" s="18" t="n">
        <v>46290</v>
      </c>
      <c r="B57" s="19" t="str">
        <f aca="false">MID("日月火水木金土",WEEKDAY(A57),1)</f>
        <v>金</v>
      </c>
      <c r="C57" s="20" t="n">
        <v>235170</v>
      </c>
      <c r="D57" s="21" t="s">
        <v>32</v>
      </c>
      <c r="E57" s="5"/>
      <c r="F57" s="5"/>
    </row>
    <row r="58" customFormat="false" ht="15" hidden="false" customHeight="false" outlineLevel="0" collapsed="false">
      <c r="A58" s="18" t="n">
        <v>46293</v>
      </c>
      <c r="B58" s="19" t="str">
        <f aca="false">MID("日月火水木金土",WEEKDAY(A58),1)</f>
        <v>月</v>
      </c>
      <c r="C58" s="20" t="n">
        <v>175910</v>
      </c>
      <c r="D58" s="21" t="s">
        <v>32</v>
      </c>
      <c r="E58" s="5"/>
      <c r="F58" s="5"/>
    </row>
    <row r="59" customFormat="false" ht="15" hidden="false" customHeight="false" outlineLevel="0" collapsed="false">
      <c r="A59" s="18" t="n">
        <v>46294</v>
      </c>
      <c r="B59" s="19" t="str">
        <f aca="false">MID("日月火水木金土",WEEKDAY(A59),1)</f>
        <v>火</v>
      </c>
      <c r="C59" s="20" t="n">
        <v>203590</v>
      </c>
      <c r="D59" s="21" t="s">
        <v>34</v>
      </c>
      <c r="E59" s="5"/>
      <c r="F59" s="5"/>
    </row>
    <row r="60" customFormat="false" ht="15" hidden="false" customHeight="false" outlineLevel="0" collapsed="false">
      <c r="A60" s="18" t="n">
        <v>46295</v>
      </c>
      <c r="B60" s="19" t="str">
        <f aca="false">MID("日月火水木金土",WEEKDAY(A60),1)</f>
        <v>水</v>
      </c>
      <c r="C60" s="20" t="n">
        <v>204670</v>
      </c>
      <c r="D60" s="21" t="s">
        <v>34</v>
      </c>
      <c r="E60" s="5"/>
      <c r="F60" s="5"/>
    </row>
    <row r="61" customFormat="false" ht="15" hidden="false" customHeight="false" outlineLevel="0" collapsed="false">
      <c r="A61" s="18" t="n">
        <v>46296</v>
      </c>
      <c r="B61" s="19" t="str">
        <f aca="false">MID("日月火水木金土",WEEKDAY(A61),1)</f>
        <v>木</v>
      </c>
      <c r="C61" s="20" t="n">
        <v>165390</v>
      </c>
      <c r="D61" s="21" t="s">
        <v>32</v>
      </c>
      <c r="E61" s="5"/>
      <c r="F61" s="5"/>
    </row>
    <row r="62" customFormat="false" ht="15" hidden="false" customHeight="false" outlineLevel="0" collapsed="false">
      <c r="A62" s="18" t="n">
        <v>46297</v>
      </c>
      <c r="B62" s="19" t="str">
        <f aca="false">MID("日月火水木金土",WEEKDAY(A62),1)</f>
        <v>金</v>
      </c>
      <c r="C62" s="20" t="n">
        <v>250680</v>
      </c>
      <c r="D62" s="21" t="s">
        <v>34</v>
      </c>
      <c r="E62" s="5"/>
      <c r="F62" s="5"/>
    </row>
    <row r="63" customFormat="false" ht="15" hidden="false" customHeight="false" outlineLevel="0" collapsed="false">
      <c r="A63" s="18" t="n">
        <v>46300</v>
      </c>
      <c r="B63" s="19" t="str">
        <f aca="false">MID("日月火水木金土",WEEKDAY(A63),1)</f>
        <v>月</v>
      </c>
      <c r="C63" s="20" t="n">
        <v>190960</v>
      </c>
      <c r="D63" s="21" t="s">
        <v>34</v>
      </c>
      <c r="E63" s="5"/>
      <c r="F63" s="5"/>
    </row>
    <row r="64" customFormat="false" ht="15" hidden="false" customHeight="false" outlineLevel="0" collapsed="false">
      <c r="A64" s="18" t="n">
        <v>46301</v>
      </c>
      <c r="B64" s="19" t="str">
        <f aca="false">MID("日月火水木金土",WEEKDAY(A64),1)</f>
        <v>火</v>
      </c>
      <c r="C64" s="20" t="n">
        <v>237070</v>
      </c>
      <c r="D64" s="21" t="s">
        <v>34</v>
      </c>
      <c r="E64" s="5"/>
      <c r="F64" s="5"/>
    </row>
    <row r="65" customFormat="false" ht="15" hidden="false" customHeight="false" outlineLevel="0" collapsed="false">
      <c r="A65" s="18" t="n">
        <v>46302</v>
      </c>
      <c r="B65" s="19" t="str">
        <f aca="false">MID("日月火水木金土",WEEKDAY(A65),1)</f>
        <v>水</v>
      </c>
      <c r="C65" s="20" t="n">
        <v>264350</v>
      </c>
      <c r="D65" s="21" t="s">
        <v>32</v>
      </c>
      <c r="E65" s="5"/>
      <c r="F65" s="5"/>
    </row>
    <row r="66" customFormat="false" ht="15" hidden="false" customHeight="false" outlineLevel="0" collapsed="false">
      <c r="A66" s="18" t="n">
        <v>46303</v>
      </c>
      <c r="B66" s="19" t="str">
        <f aca="false">MID("日月火水木金土",WEEKDAY(A66),1)</f>
        <v>木</v>
      </c>
      <c r="C66" s="20" t="n">
        <v>211130</v>
      </c>
      <c r="D66" s="21" t="s">
        <v>34</v>
      </c>
      <c r="E66" s="5"/>
      <c r="F66" s="5"/>
    </row>
    <row r="67" customFormat="false" ht="15" hidden="false" customHeight="false" outlineLevel="0" collapsed="false">
      <c r="A67" s="18" t="n">
        <v>46304</v>
      </c>
      <c r="B67" s="19" t="str">
        <f aca="false">MID("日月火水木金土",WEEKDAY(A67),1)</f>
        <v>金</v>
      </c>
      <c r="C67" s="20" t="n">
        <v>247550</v>
      </c>
      <c r="D67" s="21" t="s">
        <v>34</v>
      </c>
      <c r="E67" s="5"/>
      <c r="F67" s="5"/>
    </row>
    <row r="68" customFormat="false" ht="15" hidden="false" customHeight="false" outlineLevel="0" collapsed="false">
      <c r="A68" s="18" t="n">
        <v>46307</v>
      </c>
      <c r="B68" s="19" t="str">
        <f aca="false">MID("日月火水木金土",WEEKDAY(A68),1)</f>
        <v>月</v>
      </c>
      <c r="C68" s="20" t="n">
        <v>344250</v>
      </c>
      <c r="D68" s="21" t="s">
        <v>34</v>
      </c>
      <c r="E68" s="21" t="s">
        <v>38</v>
      </c>
      <c r="F68" s="5"/>
    </row>
    <row r="69" customFormat="false" ht="15" hidden="false" customHeight="false" outlineLevel="0" collapsed="false">
      <c r="A69" s="18" t="n">
        <v>46308</v>
      </c>
      <c r="B69" s="19" t="str">
        <f aca="false">MID("日月火水木金土",WEEKDAY(A69),1)</f>
        <v>火</v>
      </c>
      <c r="C69" s="20" t="n">
        <v>167680</v>
      </c>
      <c r="D69" s="21" t="s">
        <v>34</v>
      </c>
      <c r="E69" s="5"/>
      <c r="F69" s="5"/>
    </row>
    <row r="70" customFormat="false" ht="15" hidden="false" customHeight="false" outlineLevel="0" collapsed="false">
      <c r="A70" s="18" t="n">
        <v>46309</v>
      </c>
      <c r="B70" s="19" t="str">
        <f aca="false">MID("日月火水木金土",WEEKDAY(A70),1)</f>
        <v>水</v>
      </c>
      <c r="C70" s="20" t="n">
        <v>241620</v>
      </c>
      <c r="D70" s="21" t="s">
        <v>34</v>
      </c>
      <c r="E70" s="5"/>
      <c r="F70" s="5"/>
    </row>
    <row r="71" customFormat="false" ht="15" hidden="false" customHeight="false" outlineLevel="0" collapsed="false">
      <c r="A71" s="18" t="n">
        <v>46310</v>
      </c>
      <c r="B71" s="19" t="str">
        <f aca="false">MID("日月火水木金土",WEEKDAY(A71),1)</f>
        <v>木</v>
      </c>
      <c r="C71" s="20" t="n">
        <v>213180</v>
      </c>
      <c r="D71" s="21" t="s">
        <v>32</v>
      </c>
      <c r="E71" s="5"/>
      <c r="F71" s="5"/>
    </row>
    <row r="72" customFormat="false" ht="15" hidden="false" customHeight="false" outlineLevel="0" collapsed="false">
      <c r="A72" s="15" t="s">
        <v>15</v>
      </c>
      <c r="C72" s="22" t="n">
        <f aca="false">SUM(C2:C71)</f>
        <v>23058840</v>
      </c>
    </row>
    <row r="73" customFormat="false" ht="15" hidden="false" customHeight="false" outlineLevel="0" collapsed="false">
      <c r="A73" s="15" t="s">
        <v>39</v>
      </c>
      <c r="C73" s="15" t="n">
        <f aca="false">COUNT(C2:C71)</f>
        <v>70</v>
      </c>
    </row>
    <row r="74" customFormat="false" ht="15" hidden="false" customHeight="false" outlineLevel="0" collapsed="false">
      <c r="A74" s="23" t="s">
        <v>40</v>
      </c>
      <c r="C74" s="22" t="n">
        <f aca="false">IF(C73=0,0,C72/C73)</f>
        <v>329412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24" t="s">
        <v>24</v>
      </c>
      <c r="B1" s="24" t="s">
        <v>25</v>
      </c>
      <c r="C1" s="24" t="s">
        <v>26</v>
      </c>
      <c r="D1" s="24" t="s">
        <v>27</v>
      </c>
      <c r="E1" s="24" t="s">
        <v>28</v>
      </c>
      <c r="F1" s="24" t="s">
        <v>29</v>
      </c>
    </row>
    <row r="2" customFormat="false" ht="15" hidden="false" customHeight="false" outlineLevel="0" collapsed="false">
      <c r="A2" s="18" t="n">
        <v>46194</v>
      </c>
      <c r="B2" s="19" t="str">
        <f aca="false">MID("日月火水木金土",WEEKDAY(A2),1)</f>
        <v>日</v>
      </c>
      <c r="C2" s="20" t="n">
        <v>636370</v>
      </c>
      <c r="D2" s="21" t="s">
        <v>31</v>
      </c>
      <c r="E2" s="5"/>
      <c r="F2" s="5"/>
    </row>
    <row r="3" customFormat="false" ht="15" hidden="false" customHeight="false" outlineLevel="0" collapsed="false">
      <c r="A3" s="18" t="n">
        <v>46200</v>
      </c>
      <c r="B3" s="19" t="str">
        <f aca="false">MID("日月火水木金土",WEEKDAY(A3),1)</f>
        <v>土</v>
      </c>
      <c r="C3" s="20" t="n">
        <v>716170</v>
      </c>
      <c r="D3" s="21" t="s">
        <v>30</v>
      </c>
      <c r="E3" s="5"/>
      <c r="F3" s="5"/>
    </row>
    <row r="4" customFormat="false" ht="15" hidden="false" customHeight="false" outlineLevel="0" collapsed="false">
      <c r="A4" s="18" t="n">
        <v>46201</v>
      </c>
      <c r="B4" s="19" t="str">
        <f aca="false">MID("日月火水木金土",WEEKDAY(A4),1)</f>
        <v>日</v>
      </c>
      <c r="C4" s="20" t="n">
        <v>707360</v>
      </c>
      <c r="D4" s="21" t="s">
        <v>31</v>
      </c>
      <c r="E4" s="5"/>
      <c r="F4" s="5"/>
    </row>
    <row r="5" customFormat="false" ht="15" hidden="false" customHeight="false" outlineLevel="0" collapsed="false">
      <c r="A5" s="18" t="n">
        <v>46207</v>
      </c>
      <c r="B5" s="19" t="str">
        <f aca="false">MID("日月火水木金土",WEEKDAY(A5),1)</f>
        <v>土</v>
      </c>
      <c r="C5" s="20" t="n">
        <v>833600</v>
      </c>
      <c r="D5" s="21" t="s">
        <v>31</v>
      </c>
      <c r="E5" s="5"/>
      <c r="F5" s="5"/>
    </row>
    <row r="6" customFormat="false" ht="15" hidden="false" customHeight="false" outlineLevel="0" collapsed="false">
      <c r="A6" s="18" t="n">
        <v>46208</v>
      </c>
      <c r="B6" s="19" t="str">
        <f aca="false">MID("日月火水木金土",WEEKDAY(A6),1)</f>
        <v>日</v>
      </c>
      <c r="C6" s="20" t="n">
        <v>717490</v>
      </c>
      <c r="D6" s="21" t="s">
        <v>30</v>
      </c>
      <c r="E6" s="5"/>
      <c r="F6" s="5"/>
    </row>
    <row r="7" customFormat="false" ht="15" hidden="false" customHeight="false" outlineLevel="0" collapsed="false">
      <c r="A7" s="18" t="n">
        <v>46214</v>
      </c>
      <c r="B7" s="19" t="str">
        <f aca="false">MID("日月火水木金土",WEEKDAY(A7),1)</f>
        <v>土</v>
      </c>
      <c r="C7" s="20" t="n">
        <v>773400</v>
      </c>
      <c r="D7" s="21" t="s">
        <v>30</v>
      </c>
      <c r="E7" s="5"/>
      <c r="F7" s="5"/>
    </row>
    <row r="8" customFormat="false" ht="15" hidden="false" customHeight="false" outlineLevel="0" collapsed="false">
      <c r="A8" s="18" t="n">
        <v>46215</v>
      </c>
      <c r="B8" s="19" t="str">
        <f aca="false">MID("日月火水木金土",WEEKDAY(A8),1)</f>
        <v>日</v>
      </c>
      <c r="C8" s="20" t="n">
        <v>786550</v>
      </c>
      <c r="D8" s="21" t="s">
        <v>30</v>
      </c>
      <c r="E8" s="5"/>
      <c r="F8" s="5"/>
    </row>
    <row r="9" customFormat="false" ht="15" hidden="false" customHeight="false" outlineLevel="0" collapsed="false">
      <c r="A9" s="18" t="n">
        <v>46221</v>
      </c>
      <c r="B9" s="19" t="str">
        <f aca="false">MID("日月火水木金土",WEEKDAY(A9),1)</f>
        <v>土</v>
      </c>
      <c r="C9" s="20" t="n">
        <v>652640</v>
      </c>
      <c r="D9" s="21" t="s">
        <v>31</v>
      </c>
      <c r="E9" s="5"/>
      <c r="F9" s="5"/>
    </row>
    <row r="10" customFormat="false" ht="15" hidden="false" customHeight="false" outlineLevel="0" collapsed="false">
      <c r="A10" s="18" t="n">
        <v>46222</v>
      </c>
      <c r="B10" s="19" t="str">
        <f aca="false">MID("日月火水木金土",WEEKDAY(A10),1)</f>
        <v>日</v>
      </c>
      <c r="C10" s="20" t="n">
        <v>737850</v>
      </c>
      <c r="D10" s="21" t="s">
        <v>32</v>
      </c>
      <c r="E10" s="5"/>
      <c r="F10" s="5"/>
    </row>
    <row r="11" customFormat="false" ht="15" hidden="false" customHeight="false" outlineLevel="0" collapsed="false">
      <c r="A11" s="18" t="n">
        <v>46228</v>
      </c>
      <c r="B11" s="19" t="str">
        <f aca="false">MID("日月火水木金土",WEEKDAY(A11),1)</f>
        <v>土</v>
      </c>
      <c r="C11" s="20" t="n">
        <v>615300</v>
      </c>
      <c r="D11" s="21" t="s">
        <v>32</v>
      </c>
      <c r="E11" s="5"/>
      <c r="F11" s="5"/>
    </row>
    <row r="12" customFormat="false" ht="15" hidden="false" customHeight="false" outlineLevel="0" collapsed="false">
      <c r="A12" s="18" t="n">
        <v>46229</v>
      </c>
      <c r="B12" s="19" t="str">
        <f aca="false">MID("日月火水木金土",WEEKDAY(A12),1)</f>
        <v>日</v>
      </c>
      <c r="C12" s="20" t="n">
        <v>695890</v>
      </c>
      <c r="D12" s="21" t="s">
        <v>34</v>
      </c>
      <c r="E12" s="5"/>
      <c r="F12" s="21" t="s">
        <v>41</v>
      </c>
    </row>
    <row r="13" customFormat="false" ht="15" hidden="false" customHeight="false" outlineLevel="0" collapsed="false">
      <c r="A13" s="18" t="n">
        <v>46235</v>
      </c>
      <c r="B13" s="19" t="str">
        <f aca="false">MID("日月火水木金土",WEEKDAY(A13),1)</f>
        <v>土</v>
      </c>
      <c r="C13" s="20" t="n">
        <v>664790</v>
      </c>
      <c r="D13" s="21" t="s">
        <v>34</v>
      </c>
      <c r="E13" s="5"/>
      <c r="F13" s="5"/>
    </row>
    <row r="14" customFormat="false" ht="15" hidden="false" customHeight="false" outlineLevel="0" collapsed="false">
      <c r="A14" s="18" t="n">
        <v>46236</v>
      </c>
      <c r="B14" s="19" t="str">
        <f aca="false">MID("日月火水木金土",WEEKDAY(A14),1)</f>
        <v>日</v>
      </c>
      <c r="C14" s="20" t="n">
        <v>711580</v>
      </c>
      <c r="D14" s="21" t="s">
        <v>34</v>
      </c>
      <c r="E14" s="5"/>
      <c r="F14" s="5"/>
    </row>
    <row r="15" customFormat="false" ht="15" hidden="false" customHeight="false" outlineLevel="0" collapsed="false">
      <c r="A15" s="18" t="n">
        <v>46263</v>
      </c>
      <c r="B15" s="19" t="str">
        <f aca="false">MID("日月火水木金土",WEEKDAY(A15),1)</f>
        <v>土</v>
      </c>
      <c r="C15" s="20" t="n">
        <v>554810</v>
      </c>
      <c r="D15" s="21" t="s">
        <v>34</v>
      </c>
      <c r="E15" s="5"/>
      <c r="F15" s="5"/>
    </row>
    <row r="16" customFormat="false" ht="15" hidden="false" customHeight="false" outlineLevel="0" collapsed="false">
      <c r="A16" s="18" t="n">
        <v>46264</v>
      </c>
      <c r="B16" s="19" t="str">
        <f aca="false">MID("日月火水木金土",WEEKDAY(A16),1)</f>
        <v>日</v>
      </c>
      <c r="C16" s="20" t="n">
        <v>477270</v>
      </c>
      <c r="D16" s="21" t="s">
        <v>31</v>
      </c>
      <c r="E16" s="5"/>
      <c r="F16" s="5"/>
    </row>
    <row r="17" customFormat="false" ht="15" hidden="false" customHeight="false" outlineLevel="0" collapsed="false">
      <c r="A17" s="18" t="n">
        <v>46270</v>
      </c>
      <c r="B17" s="19" t="str">
        <f aca="false">MID("日月火水木金土",WEEKDAY(A17),1)</f>
        <v>土</v>
      </c>
      <c r="C17" s="20" t="n">
        <v>573870</v>
      </c>
      <c r="D17" s="21" t="s">
        <v>31</v>
      </c>
      <c r="E17" s="5"/>
      <c r="F17" s="5"/>
    </row>
    <row r="18" customFormat="false" ht="15" hidden="false" customHeight="false" outlineLevel="0" collapsed="false">
      <c r="A18" s="18" t="n">
        <v>46271</v>
      </c>
      <c r="B18" s="19" t="str">
        <f aca="false">MID("日月火水木金土",WEEKDAY(A18),1)</f>
        <v>日</v>
      </c>
      <c r="C18" s="20" t="n">
        <v>543590</v>
      </c>
      <c r="D18" s="21" t="s">
        <v>34</v>
      </c>
      <c r="E18" s="5"/>
      <c r="F18" s="5"/>
    </row>
    <row r="19" customFormat="false" ht="15" hidden="false" customHeight="false" outlineLevel="0" collapsed="false">
      <c r="A19" s="18" t="n">
        <v>46277</v>
      </c>
      <c r="B19" s="19" t="str">
        <f aca="false">MID("日月火水木金土",WEEKDAY(A19),1)</f>
        <v>土</v>
      </c>
      <c r="C19" s="20" t="n">
        <v>507490</v>
      </c>
      <c r="D19" s="21" t="s">
        <v>34</v>
      </c>
      <c r="E19" s="5"/>
      <c r="F19" s="5"/>
    </row>
    <row r="20" customFormat="false" ht="15" hidden="false" customHeight="false" outlineLevel="0" collapsed="false">
      <c r="A20" s="18" t="n">
        <v>46278</v>
      </c>
      <c r="B20" s="19" t="str">
        <f aca="false">MID("日月火水木金土",WEEKDAY(A20),1)</f>
        <v>日</v>
      </c>
      <c r="C20" s="20" t="n">
        <v>543290</v>
      </c>
      <c r="D20" s="21" t="s">
        <v>34</v>
      </c>
      <c r="E20" s="5"/>
      <c r="F20" s="5"/>
    </row>
    <row r="21" customFormat="false" ht="15" hidden="false" customHeight="false" outlineLevel="0" collapsed="false">
      <c r="A21" s="18" t="n">
        <v>46284</v>
      </c>
      <c r="B21" s="19" t="str">
        <f aca="false">MID("日月火水木金土",WEEKDAY(A21),1)</f>
        <v>土</v>
      </c>
      <c r="C21" s="20" t="n">
        <v>466800</v>
      </c>
      <c r="D21" s="21" t="s">
        <v>34</v>
      </c>
      <c r="E21" s="5"/>
      <c r="F21" s="5"/>
    </row>
    <row r="22" customFormat="false" ht="15" hidden="false" customHeight="false" outlineLevel="0" collapsed="false">
      <c r="A22" s="18" t="n">
        <v>46285</v>
      </c>
      <c r="B22" s="19" t="str">
        <f aca="false">MID("日月火水木金土",WEEKDAY(A22),1)</f>
        <v>日</v>
      </c>
      <c r="C22" s="20" t="n">
        <v>586850</v>
      </c>
      <c r="D22" s="21" t="s">
        <v>34</v>
      </c>
      <c r="E22" s="5"/>
      <c r="F22" s="5"/>
    </row>
    <row r="23" customFormat="false" ht="15" hidden="false" customHeight="false" outlineLevel="0" collapsed="false">
      <c r="A23" s="18" t="n">
        <v>46291</v>
      </c>
      <c r="B23" s="19" t="str">
        <f aca="false">MID("日月火水木金土",WEEKDAY(A23),1)</f>
        <v>土</v>
      </c>
      <c r="C23" s="20" t="n">
        <v>569450</v>
      </c>
      <c r="D23" s="21" t="s">
        <v>31</v>
      </c>
      <c r="E23" s="5"/>
      <c r="F23" s="5"/>
    </row>
    <row r="24" customFormat="false" ht="15" hidden="false" customHeight="false" outlineLevel="0" collapsed="false">
      <c r="A24" s="18" t="n">
        <v>46292</v>
      </c>
      <c r="B24" s="19" t="str">
        <f aca="false">MID("日月火水木金土",WEEKDAY(A24),1)</f>
        <v>日</v>
      </c>
      <c r="C24" s="20" t="n">
        <v>512050</v>
      </c>
      <c r="D24" s="21" t="s">
        <v>34</v>
      </c>
      <c r="E24" s="5"/>
      <c r="F24" s="5"/>
    </row>
    <row r="25" customFormat="false" ht="15" hidden="false" customHeight="false" outlineLevel="0" collapsed="false">
      <c r="A25" s="18" t="n">
        <v>46298</v>
      </c>
      <c r="B25" s="19" t="str">
        <f aca="false">MID("日月火水木金土",WEEKDAY(A25),1)</f>
        <v>土</v>
      </c>
      <c r="C25" s="20" t="n">
        <v>454190</v>
      </c>
      <c r="D25" s="21" t="s">
        <v>34</v>
      </c>
      <c r="E25" s="5"/>
      <c r="F25" s="5"/>
    </row>
    <row r="26" customFormat="false" ht="15" hidden="false" customHeight="false" outlineLevel="0" collapsed="false">
      <c r="A26" s="18" t="n">
        <v>46299</v>
      </c>
      <c r="B26" s="19" t="str">
        <f aca="false">MID("日月火水木金土",WEEKDAY(A26),1)</f>
        <v>日</v>
      </c>
      <c r="C26" s="20" t="n">
        <v>606680</v>
      </c>
      <c r="D26" s="21" t="s">
        <v>34</v>
      </c>
      <c r="E26" s="5"/>
      <c r="F26" s="5"/>
    </row>
    <row r="27" customFormat="false" ht="15" hidden="false" customHeight="false" outlineLevel="0" collapsed="false">
      <c r="A27" s="18" t="n">
        <v>46305</v>
      </c>
      <c r="B27" s="19" t="str">
        <f aca="false">MID("日月火水木金土",WEEKDAY(A27),1)</f>
        <v>土</v>
      </c>
      <c r="C27" s="20" t="n">
        <v>377970</v>
      </c>
      <c r="D27" s="21" t="s">
        <v>34</v>
      </c>
      <c r="E27" s="5"/>
      <c r="F27" s="5"/>
    </row>
    <row r="28" customFormat="false" ht="15" hidden="false" customHeight="false" outlineLevel="0" collapsed="false">
      <c r="A28" s="18" t="n">
        <v>46306</v>
      </c>
      <c r="B28" s="19" t="str">
        <f aca="false">MID("日月火水木金土",WEEKDAY(A28),1)</f>
        <v>日</v>
      </c>
      <c r="C28" s="20" t="n">
        <v>498390</v>
      </c>
      <c r="D28" s="21" t="s">
        <v>34</v>
      </c>
      <c r="E28" s="5"/>
      <c r="F28" s="5"/>
    </row>
    <row r="29" customFormat="false" ht="15" hidden="false" customHeight="false" outlineLevel="0" collapsed="false">
      <c r="A29" s="15" t="s">
        <v>15</v>
      </c>
      <c r="C29" s="22" t="n">
        <f aca="false">SUM(C2:C28)</f>
        <v>16521690</v>
      </c>
    </row>
    <row r="30" customFormat="false" ht="15" hidden="false" customHeight="false" outlineLevel="0" collapsed="false">
      <c r="A30" s="15" t="s">
        <v>39</v>
      </c>
      <c r="C30" s="15" t="n">
        <f aca="false">COUNT(C2:C28)</f>
        <v>27</v>
      </c>
    </row>
    <row r="31" customFormat="false" ht="15" hidden="false" customHeight="false" outlineLevel="0" collapsed="false">
      <c r="A31" s="23" t="s">
        <v>40</v>
      </c>
      <c r="C31" s="22" t="n">
        <f aca="false">IF(C30=0,0,C29/C30)</f>
        <v>611914.444444445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2026-10-15T15:36:50Z</dcterms:created>
  <dc:creator>openpyxl</dc:creator>
  <dc:description/>
  <dc:language>en-US</dc:language>
  <cp:lastModifiedBy/>
  <dcterms:modified xsi:type="dcterms:W3CDTF">2026-10-15T15:36:50Z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