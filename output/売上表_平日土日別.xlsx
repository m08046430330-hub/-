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月別集計" sheetId="1" state="visible" r:id="rId3"/>
    <sheet name="グラフ" sheetId="2" state="visible" r:id="rId4"/>
    <sheet name="平日" sheetId="3" state="visible" r:id="rId5"/>
    <sheet name="土日" sheetId="4" state="visible" r:id="rId6"/>
    <sheet name="日別推移データ" sheetId="5" state="visible" r:id="rId7"/>
    <sheet name="週別データ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<sst xmlns="http://schemas.openxmlformats.org/spreadsheetml/2006/main" count="175" uniqueCount="69">
  <si>
    <r>
      <rPr>
        <b val="true"/>
        <sz val="14"/>
        <rFont val="WenQuanYi Zen Hei"/>
        <family val="2"/>
      </rPr>
      <t xml:space="preserve">月別 平日・土日 売上集計（</t>
    </r>
    <r>
      <rPr>
        <b val="true"/>
        <sz val="14"/>
        <rFont val="Arial"/>
        <family val="0"/>
        <charset val="1"/>
      </rPr>
      <t xml:space="preserve">2026</t>
    </r>
    <r>
      <rPr>
        <b val="true"/>
        <sz val="14"/>
        <rFont val="WenQuanYi Zen Hei"/>
        <family val="2"/>
      </rPr>
      <t xml:space="preserve">年）</t>
    </r>
  </si>
  <si>
    <t xml:space="preserve">月</t>
  </si>
  <si>
    <t xml:space="preserve">平日 日数</t>
  </si>
  <si>
    <t xml:space="preserve">平日 売上合計</t>
  </si>
  <si>
    <r>
      <rPr>
        <b val="true"/>
        <sz val="11"/>
        <color rgb="FFFFFFFF"/>
        <rFont val="WenQuanYi Zen Hei"/>
        <family val="2"/>
      </rPr>
      <t xml:space="preserve">平日 </t>
    </r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WenQuanYi Zen Hei"/>
        <family val="2"/>
      </rPr>
      <t xml:space="preserve">日平均</t>
    </r>
  </si>
  <si>
    <t xml:space="preserve">土日 日数</t>
  </si>
  <si>
    <t xml:space="preserve">土日 売上合計</t>
  </si>
  <si>
    <r>
      <rPr>
        <b val="true"/>
        <sz val="11"/>
        <color rgb="FFFFFFFF"/>
        <rFont val="WenQuanYi Zen Hei"/>
        <family val="2"/>
      </rPr>
      <t xml:space="preserve">土日 </t>
    </r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WenQuanYi Zen Hei"/>
        <family val="2"/>
      </rPr>
      <t xml:space="preserve">日平均</t>
    </r>
  </si>
  <si>
    <t xml:space="preserve">総合計</t>
  </si>
  <si>
    <t xml:space="preserve">土日比率</t>
  </si>
  <si>
    <r>
      <rPr>
        <sz val="11"/>
        <rFont val="Arial"/>
        <family val="0"/>
        <charset val="1"/>
      </rPr>
      <t xml:space="preserve">6</t>
    </r>
    <r>
      <rPr>
        <sz val="11"/>
        <rFont val="WenQuanYi Zen Hei"/>
        <family val="2"/>
      </rPr>
      <t xml:space="preserve">月</t>
    </r>
  </si>
  <si>
    <r>
      <rPr>
        <sz val="11"/>
        <rFont val="Arial"/>
        <family val="0"/>
        <charset val="1"/>
      </rPr>
      <t xml:space="preserve">7</t>
    </r>
    <r>
      <rPr>
        <sz val="11"/>
        <rFont val="WenQuanYi Zen Hei"/>
        <family val="2"/>
      </rPr>
      <t xml:space="preserve">月</t>
    </r>
  </si>
  <si>
    <r>
      <rPr>
        <sz val="11"/>
        <rFont val="Arial"/>
        <family val="0"/>
        <charset val="1"/>
      </rPr>
      <t xml:space="preserve">8</t>
    </r>
    <r>
      <rPr>
        <sz val="11"/>
        <rFont val="WenQuanYi Zen Hei"/>
        <family val="2"/>
      </rPr>
      <t xml:space="preserve">月</t>
    </r>
  </si>
  <si>
    <r>
      <rPr>
        <sz val="11"/>
        <rFont val="Arial"/>
        <family val="0"/>
        <charset val="1"/>
      </rPr>
      <t xml:space="preserve">9</t>
    </r>
    <r>
      <rPr>
        <sz val="11"/>
        <rFont val="WenQuanYi Zen Hei"/>
        <family val="2"/>
      </rPr>
      <t xml:space="preserve">月</t>
    </r>
  </si>
  <si>
    <r>
      <rPr>
        <sz val="11"/>
        <rFont val="Arial"/>
        <family val="0"/>
        <charset val="1"/>
      </rPr>
      <t xml:space="preserve">10</t>
    </r>
    <r>
      <rPr>
        <sz val="11"/>
        <rFont val="WenQuanYi Zen Hei"/>
        <family val="2"/>
      </rPr>
      <t xml:space="preserve">月</t>
    </r>
  </si>
  <si>
    <t xml:space="preserve">合計</t>
  </si>
  <si>
    <t xml:space="preserve">土日平均は平日平均の</t>
  </si>
  <si>
    <t xml:space="preserve">【注記】</t>
  </si>
  <si>
    <r>
      <rPr>
        <sz val="9"/>
        <color rgb="FF595959"/>
        <rFont val="WenQuanYi Zen Hei"/>
        <family val="2"/>
      </rPr>
      <t xml:space="preserve">・元データ：</t>
    </r>
    <r>
      <rPr>
        <sz val="9"/>
        <color rgb="FF595959"/>
        <rFont val="Arial"/>
        <family val="0"/>
        <charset val="1"/>
      </rPr>
      <t xml:space="preserve">LINE</t>
    </r>
    <r>
      <rPr>
        <sz val="9"/>
        <color rgb="FF595959"/>
        <rFont val="WenQuanYi Zen Hei"/>
        <family val="2"/>
      </rPr>
      <t xml:space="preserve">グループの日次売上報告（</t>
    </r>
    <r>
      <rPr>
        <sz val="9"/>
        <color rgb="FF595959"/>
        <rFont val="Arial"/>
        <family val="0"/>
        <charset val="1"/>
      </rPr>
      <t xml:space="preserve">6/21</t>
    </r>
    <r>
      <rPr>
        <sz val="9"/>
        <color rgb="FF595959"/>
        <rFont val="WenQuanYi Zen Hei"/>
        <family val="2"/>
      </rPr>
      <t xml:space="preserve">〜</t>
    </r>
    <r>
      <rPr>
        <sz val="9"/>
        <color rgb="FF595959"/>
        <rFont val="Arial"/>
        <family val="0"/>
        <charset val="1"/>
      </rPr>
      <t xml:space="preserve">10/15</t>
    </r>
    <r>
      <rPr>
        <sz val="9"/>
        <color rgb="FF595959"/>
        <rFont val="WenQuanYi Zen Hei"/>
        <family val="2"/>
      </rPr>
      <t xml:space="preserve">）。区分は曜日のみで判定（祝日は「平日」側に含み、各シートの祝日列で表示）。</t>
    </r>
  </si>
  <si>
    <r>
      <rPr>
        <sz val="9"/>
        <color rgb="FF595959"/>
        <rFont val="WenQuanYi Zen Hei"/>
        <family val="2"/>
      </rPr>
      <t xml:space="preserve">・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WenQuanYi Zen Hei"/>
        <family val="2"/>
      </rPr>
      <t xml:space="preserve">月は</t>
    </r>
    <r>
      <rPr>
        <sz val="9"/>
        <color rgb="FF595959"/>
        <rFont val="Arial"/>
        <family val="0"/>
        <charset val="1"/>
      </rPr>
      <t xml:space="preserve">21</t>
    </r>
    <r>
      <rPr>
        <sz val="9"/>
        <color rgb="FF595959"/>
        <rFont val="WenQuanYi Zen Hei"/>
        <family val="2"/>
      </rPr>
      <t xml:space="preserve">日以降のみ（それ以前の日別報告がトーク履歴にないため）。</t>
    </r>
  </si>
  <si>
    <r>
      <rPr>
        <sz val="9"/>
        <color rgb="FF595959"/>
        <rFont val="WenQuanYi Zen Hei"/>
        <family val="2"/>
      </rPr>
      <t xml:space="preserve">・トーク履歴に報告がない日（集計対象外）：</t>
    </r>
    <r>
      <rPr>
        <sz val="9"/>
        <color rgb="FF595959"/>
        <rFont val="Arial"/>
        <family val="0"/>
        <charset val="1"/>
      </rPr>
      <t xml:space="preserve">7/21</t>
    </r>
    <r>
      <rPr>
        <sz val="9"/>
        <color rgb="FF595959"/>
        <rFont val="WenQuanYi Zen Hei"/>
        <family val="2"/>
      </rPr>
      <t xml:space="preserve">〜</t>
    </r>
    <r>
      <rPr>
        <sz val="9"/>
        <color rgb="FF595959"/>
        <rFont val="Arial"/>
        <family val="0"/>
        <charset val="1"/>
      </rPr>
      <t xml:space="preserve">7/24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8/8</t>
    </r>
    <r>
      <rPr>
        <sz val="9"/>
        <color rgb="FF595959"/>
        <rFont val="WenQuanYi Zen Hei"/>
        <family val="2"/>
      </rPr>
      <t xml:space="preserve">〜</t>
    </r>
    <r>
      <rPr>
        <sz val="9"/>
        <color rgb="FF595959"/>
        <rFont val="Arial"/>
        <family val="0"/>
        <charset val="1"/>
      </rPr>
      <t xml:space="preserve">8/23</t>
    </r>
    <r>
      <rPr>
        <sz val="9"/>
        <color rgb="FF595959"/>
        <rFont val="WenQuanYi Zen Hei"/>
        <family val="2"/>
      </rPr>
      <t xml:space="preserve">。そのため</t>
    </r>
    <r>
      <rPr>
        <sz val="9"/>
        <color rgb="FF595959"/>
        <rFont val="Arial"/>
        <family val="0"/>
        <charset val="1"/>
      </rPr>
      <t xml:space="preserve">7</t>
    </r>
    <r>
      <rPr>
        <sz val="9"/>
        <color rgb="FF595959"/>
        <rFont val="WenQuanYi Zen Hei"/>
        <family val="2"/>
      </rPr>
      <t xml:space="preserve">月・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WenQuanYi Zen Hei"/>
        <family val="2"/>
      </rPr>
      <t xml:space="preserve">月の合計は</t>
    </r>
    <r>
      <rPr>
        <sz val="9"/>
        <color rgb="FF595959"/>
        <rFont val="Arial"/>
        <family val="0"/>
        <charset val="1"/>
      </rPr>
      <t xml:space="preserve">LINE</t>
    </r>
    <r>
      <rPr>
        <sz val="9"/>
        <color rgb="FF595959"/>
        <rFont val="WenQuanYi Zen Hei"/>
        <family val="2"/>
      </rPr>
      <t xml:space="preserve">上の「合算」より少なくなります。</t>
    </r>
  </si>
  <si>
    <r>
      <rPr>
        <sz val="9"/>
        <color rgb="FF595959"/>
        <rFont val="WenQuanYi Zen Hei"/>
        <family val="2"/>
      </rPr>
      <t xml:space="preserve">・</t>
    </r>
    <r>
      <rPr>
        <sz val="9"/>
        <color rgb="FF595959"/>
        <rFont val="Arial"/>
        <family val="0"/>
        <charset val="1"/>
      </rPr>
      <t xml:space="preserve">7/26</t>
    </r>
    <r>
      <rPr>
        <sz val="9"/>
        <color rgb="FF595959"/>
        <rFont val="WenQuanYi Zen Hei"/>
        <family val="2"/>
      </rPr>
      <t xml:space="preserve">：当初 </t>
    </r>
    <r>
      <rPr>
        <sz val="9"/>
        <color rgb="FF595959"/>
        <rFont val="Arial"/>
        <family val="0"/>
        <charset val="1"/>
      </rPr>
      <t xml:space="preserve">965,890 → 7/27</t>
    </r>
    <r>
      <rPr>
        <sz val="9"/>
        <color rgb="FF595959"/>
        <rFont val="WenQuanYi Zen Hei"/>
        <family val="2"/>
      </rPr>
      <t xml:space="preserve">の訂正投稿（本文「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WenQuanYi Zen Hei"/>
        <family val="2"/>
      </rPr>
      <t xml:space="preserve">月</t>
    </r>
    <r>
      <rPr>
        <sz val="9"/>
        <color rgb="FF595959"/>
        <rFont val="Arial"/>
        <family val="0"/>
        <charset val="1"/>
      </rPr>
      <t xml:space="preserve">26</t>
    </r>
    <r>
      <rPr>
        <sz val="9"/>
        <color rgb="FF595959"/>
        <rFont val="WenQuanYi Zen Hei"/>
        <family val="2"/>
      </rPr>
      <t xml:space="preserve">日 </t>
    </r>
    <r>
      <rPr>
        <sz val="9"/>
        <color rgb="FF595959"/>
        <rFont val="Arial"/>
        <family val="0"/>
        <charset val="1"/>
      </rPr>
      <t xml:space="preserve">695,890</t>
    </r>
    <r>
      <rPr>
        <sz val="9"/>
        <color rgb="FF595959"/>
        <rFont val="WenQuanYi Zen Hei"/>
        <family val="2"/>
      </rPr>
      <t xml:space="preserve">」は</t>
    </r>
    <r>
      <rPr>
        <sz val="9"/>
        <color rgb="FF595959"/>
        <rFont val="Arial"/>
        <family val="0"/>
        <charset val="1"/>
      </rPr>
      <t xml:space="preserve">7</t>
    </r>
    <r>
      <rPr>
        <sz val="9"/>
        <color rgb="FF595959"/>
        <rFont val="WenQuanYi Zen Hei"/>
        <family val="2"/>
      </rPr>
      <t xml:space="preserve">月</t>
    </r>
    <r>
      <rPr>
        <sz val="9"/>
        <color rgb="FF595959"/>
        <rFont val="Arial"/>
        <family val="0"/>
        <charset val="1"/>
      </rPr>
      <t xml:space="preserve">26</t>
    </r>
    <r>
      <rPr>
        <sz val="9"/>
        <color rgb="FF595959"/>
        <rFont val="WenQuanYi Zen Hei"/>
        <family val="2"/>
      </rPr>
      <t xml:space="preserve">日の誤記と判断）で </t>
    </r>
    <r>
      <rPr>
        <sz val="9"/>
        <color rgb="FF595959"/>
        <rFont val="Arial"/>
        <family val="0"/>
        <charset val="1"/>
      </rPr>
      <t xml:space="preserve">695,890 </t>
    </r>
    <r>
      <rPr>
        <sz val="9"/>
        <color rgb="FF595959"/>
        <rFont val="WenQuanYi Zen Hei"/>
        <family val="2"/>
      </rPr>
      <t xml:space="preserve">を採用。</t>
    </r>
  </si>
  <si>
    <r>
      <rPr>
        <sz val="9"/>
        <color rgb="FF595959"/>
        <rFont val="WenQuanYi Zen Hei"/>
        <family val="2"/>
      </rPr>
      <t xml:space="preserve">・</t>
    </r>
    <r>
      <rPr>
        <sz val="9"/>
        <color rgb="FF595959"/>
        <rFont val="Arial"/>
        <family val="0"/>
        <charset val="1"/>
      </rPr>
      <t xml:space="preserve">LINE</t>
    </r>
    <r>
      <rPr>
        <sz val="9"/>
        <color rgb="FF595959"/>
        <rFont val="WenQuanYi Zen Hei"/>
        <family val="2"/>
      </rPr>
      <t xml:space="preserve">上の「合算」には計算・転記の誤りがある箇所あり（例：</t>
    </r>
    <r>
      <rPr>
        <sz val="9"/>
        <color rgb="FF595959"/>
        <rFont val="Arial"/>
        <family val="0"/>
        <charset val="1"/>
      </rPr>
      <t xml:space="preserve">7/12</t>
    </r>
    <r>
      <rPr>
        <sz val="9"/>
        <color rgb="FF595959"/>
        <rFont val="WenQuanYi Zen Hei"/>
        <family val="2"/>
      </rPr>
      <t xml:space="preserve">「</t>
    </r>
    <r>
      <rPr>
        <sz val="9"/>
        <color rgb="FF595959"/>
        <rFont val="Arial"/>
        <family val="0"/>
        <charset val="1"/>
      </rPr>
      <t xml:space="preserve">6,413,938</t>
    </r>
    <r>
      <rPr>
        <sz val="9"/>
        <color rgb="FF595959"/>
        <rFont val="WenQuanYi Zen Hei"/>
        <family val="2"/>
      </rPr>
      <t xml:space="preserve">」、</t>
    </r>
    <r>
      <rPr>
        <sz val="9"/>
        <color rgb="FF595959"/>
        <rFont val="Arial"/>
        <family val="0"/>
        <charset val="1"/>
      </rPr>
      <t xml:space="preserve">7/20</t>
    </r>
    <r>
      <rPr>
        <sz val="9"/>
        <color rgb="FF595959"/>
        <rFont val="WenQuanYi Zen Hei"/>
        <family val="2"/>
      </rPr>
      <t xml:space="preserve">合算が前日比で不一致、</t>
    </r>
    <r>
      <rPr>
        <sz val="9"/>
        <color rgb="FF595959"/>
        <rFont val="Arial"/>
        <family val="0"/>
        <charset val="1"/>
      </rPr>
      <t xml:space="preserve">10/4</t>
    </r>
    <r>
      <rPr>
        <sz val="9"/>
        <color rgb="FF595959"/>
        <rFont val="WenQuanYi Zen Hei"/>
        <family val="2"/>
      </rPr>
      <t xml:space="preserve">合算が</t>
    </r>
    <r>
      <rPr>
        <sz val="9"/>
        <color rgb="FF595959"/>
        <rFont val="Arial"/>
        <family val="0"/>
        <charset val="1"/>
      </rPr>
      <t xml:space="preserve">300</t>
    </r>
    <r>
      <rPr>
        <sz val="9"/>
        <color rgb="FF595959"/>
        <rFont val="WenQuanYi Zen Hei"/>
        <family val="2"/>
      </rPr>
      <t xml:space="preserve">円多い）。本表は日次の数値から集計し直しています。</t>
    </r>
  </si>
  <si>
    <t xml:space="preserve">・青字の売上は入力値。修正すると全集計に反映されます。</t>
  </si>
  <si>
    <t xml:space="preserve">平日・土日 売上グラフ</t>
  </si>
  <si>
    <t xml:space="preserve">青＝平日　オレンジ＝土日（※祝日は平日に含む）</t>
  </si>
  <si>
    <r>
      <rPr>
        <sz val="10"/>
        <color rgb="FF595959"/>
        <rFont val="WenQuanYi Zen Hei"/>
        <family val="2"/>
      </rPr>
      <t xml:space="preserve">→ 全期間平均：平日 約</t>
    </r>
    <r>
      <rPr>
        <sz val="10"/>
        <color rgb="FF595959"/>
        <rFont val="Arial"/>
        <family val="0"/>
        <charset val="1"/>
      </rPr>
      <t xml:space="preserve">33</t>
    </r>
    <r>
      <rPr>
        <sz val="10"/>
        <color rgb="FF595959"/>
        <rFont val="WenQuanYi Zen Hei"/>
        <family val="2"/>
      </rPr>
      <t xml:space="preserve">万円／土日 約</t>
    </r>
    <r>
      <rPr>
        <sz val="10"/>
        <color rgb="FF595959"/>
        <rFont val="Arial"/>
        <family val="0"/>
        <charset val="1"/>
      </rPr>
      <t xml:space="preserve">61</t>
    </r>
    <r>
      <rPr>
        <sz val="10"/>
        <color rgb="FF595959"/>
        <rFont val="WenQuanYi Zen Hei"/>
        <family val="2"/>
      </rPr>
      <t xml:space="preserve">万円。土日は平日の約</t>
    </r>
    <r>
      <rPr>
        <sz val="10"/>
        <color rgb="FF595959"/>
        <rFont val="Arial"/>
        <family val="0"/>
        <charset val="1"/>
      </rPr>
      <t xml:space="preserve">1.9</t>
    </r>
    <r>
      <rPr>
        <sz val="10"/>
        <color rgb="FF595959"/>
        <rFont val="WenQuanYi Zen Hei"/>
        <family val="2"/>
      </rPr>
      <t xml:space="preserve">倍。</t>
    </r>
    <r>
      <rPr>
        <sz val="10"/>
        <color rgb="FF595959"/>
        <rFont val="Arial"/>
        <family val="0"/>
        <charset val="1"/>
      </rPr>
      <t xml:space="preserve">9</t>
    </r>
    <r>
      <rPr>
        <sz val="10"/>
        <color rgb="FF595959"/>
        <rFont val="WenQuanYi Zen Hei"/>
        <family val="2"/>
      </rPr>
      <t xml:space="preserve">月以降はどちらも下降傾向。</t>
    </r>
  </si>
  <si>
    <r>
      <rPr>
        <sz val="10"/>
        <color rgb="FF595959"/>
        <rFont val="Arial"/>
        <family val="0"/>
        <charset val="1"/>
      </rPr>
      <t xml:space="preserve">※6</t>
    </r>
    <r>
      <rPr>
        <sz val="10"/>
        <color rgb="FF595959"/>
        <rFont val="WenQuanYi Zen Hei"/>
        <family val="2"/>
      </rPr>
      <t xml:space="preserve">月は</t>
    </r>
    <r>
      <rPr>
        <sz val="10"/>
        <color rgb="FF595959"/>
        <rFont val="Arial"/>
        <family val="0"/>
        <charset val="1"/>
      </rPr>
      <t xml:space="preserve">21</t>
    </r>
    <r>
      <rPr>
        <sz val="10"/>
        <color rgb="FF595959"/>
        <rFont val="WenQuanYi Zen Hei"/>
        <family val="2"/>
      </rPr>
      <t xml:space="preserve">日〜、</t>
    </r>
    <r>
      <rPr>
        <sz val="10"/>
        <color rgb="FF595959"/>
        <rFont val="Arial"/>
        <family val="0"/>
        <charset val="1"/>
      </rPr>
      <t xml:space="preserve">10</t>
    </r>
    <r>
      <rPr>
        <sz val="10"/>
        <color rgb="FF595959"/>
        <rFont val="WenQuanYi Zen Hei"/>
        <family val="2"/>
      </rPr>
      <t xml:space="preserve">月は</t>
    </r>
    <r>
      <rPr>
        <sz val="10"/>
        <color rgb="FF595959"/>
        <rFont val="Arial"/>
        <family val="0"/>
        <charset val="1"/>
      </rPr>
      <t xml:space="preserve">15</t>
    </r>
    <r>
      <rPr>
        <sz val="10"/>
        <color rgb="FF595959"/>
        <rFont val="WenQuanYi Zen Hei"/>
        <family val="2"/>
      </rPr>
      <t xml:space="preserve">日まで。</t>
    </r>
    <r>
      <rPr>
        <sz val="10"/>
        <color rgb="FF595959"/>
        <rFont val="Arial"/>
        <family val="0"/>
        <charset val="1"/>
      </rPr>
      <t xml:space="preserve">7</t>
    </r>
    <r>
      <rPr>
        <sz val="10"/>
        <color rgb="FF595959"/>
        <rFont val="WenQuanYi Zen Hei"/>
        <family val="2"/>
      </rPr>
      <t xml:space="preserve">月</t>
    </r>
    <r>
      <rPr>
        <sz val="10"/>
        <color rgb="FF595959"/>
        <rFont val="Arial"/>
        <family val="0"/>
        <charset val="1"/>
      </rPr>
      <t xml:space="preserve">(7/21</t>
    </r>
    <r>
      <rPr>
        <sz val="10"/>
        <color rgb="FF595959"/>
        <rFont val="WenQuanYi Zen Hei"/>
        <family val="2"/>
      </rPr>
      <t xml:space="preserve">〜</t>
    </r>
    <r>
      <rPr>
        <sz val="10"/>
        <color rgb="FF595959"/>
        <rFont val="Arial"/>
        <family val="0"/>
        <charset val="1"/>
      </rPr>
      <t xml:space="preserve">24)</t>
    </r>
    <r>
      <rPr>
        <sz val="10"/>
        <color rgb="FF595959"/>
        <rFont val="WenQuanYi Zen Hei"/>
        <family val="2"/>
      </rPr>
      <t xml:space="preserve">・</t>
    </r>
    <r>
      <rPr>
        <sz val="10"/>
        <color rgb="FF595959"/>
        <rFont val="Arial"/>
        <family val="0"/>
        <charset val="1"/>
      </rPr>
      <t xml:space="preserve">8</t>
    </r>
    <r>
      <rPr>
        <sz val="10"/>
        <color rgb="FF595959"/>
        <rFont val="WenQuanYi Zen Hei"/>
        <family val="2"/>
      </rPr>
      <t xml:space="preserve">月</t>
    </r>
    <r>
      <rPr>
        <sz val="10"/>
        <color rgb="FF595959"/>
        <rFont val="Arial"/>
        <family val="0"/>
        <charset val="1"/>
      </rPr>
      <t xml:space="preserve">(8/8</t>
    </r>
    <r>
      <rPr>
        <sz val="10"/>
        <color rgb="FF595959"/>
        <rFont val="WenQuanYi Zen Hei"/>
        <family val="2"/>
      </rPr>
      <t xml:space="preserve">〜</t>
    </r>
    <r>
      <rPr>
        <sz val="10"/>
        <color rgb="FF595959"/>
        <rFont val="Arial"/>
        <family val="0"/>
        <charset val="1"/>
      </rPr>
      <t xml:space="preserve">23)</t>
    </r>
    <r>
      <rPr>
        <sz val="10"/>
        <color rgb="FF595959"/>
        <rFont val="WenQuanYi Zen Hei"/>
        <family val="2"/>
      </rPr>
      <t xml:space="preserve">は報告なしの日があるため実際より少なめ。</t>
    </r>
  </si>
  <si>
    <r>
      <rPr>
        <sz val="10"/>
        <color rgb="FF595959"/>
        <rFont val="WenQuanYi Zen Hei"/>
        <family val="2"/>
      </rPr>
      <t xml:space="preserve">※空白部分は報告のない期間（</t>
    </r>
    <r>
      <rPr>
        <sz val="10"/>
        <color rgb="FF595959"/>
        <rFont val="Arial"/>
        <family val="0"/>
        <charset val="1"/>
      </rPr>
      <t xml:space="preserve">7/21</t>
    </r>
    <r>
      <rPr>
        <sz val="10"/>
        <color rgb="FF595959"/>
        <rFont val="WenQuanYi Zen Hei"/>
        <family val="2"/>
      </rPr>
      <t xml:space="preserve">〜</t>
    </r>
    <r>
      <rPr>
        <sz val="10"/>
        <color rgb="FF595959"/>
        <rFont val="Arial"/>
        <family val="0"/>
        <charset val="1"/>
      </rPr>
      <t xml:space="preserve">24</t>
    </r>
    <r>
      <rPr>
        <sz val="10"/>
        <color rgb="FF595959"/>
        <rFont val="WenQuanYi Zen Hei"/>
        <family val="2"/>
      </rPr>
      <t xml:space="preserve">、</t>
    </r>
    <r>
      <rPr>
        <sz val="10"/>
        <color rgb="FF595959"/>
        <rFont val="Arial"/>
        <family val="0"/>
        <charset val="1"/>
      </rPr>
      <t xml:space="preserve">8/8</t>
    </r>
    <r>
      <rPr>
        <sz val="10"/>
        <color rgb="FF595959"/>
        <rFont val="WenQuanYi Zen Hei"/>
        <family val="2"/>
      </rPr>
      <t xml:space="preserve">〜</t>
    </r>
    <r>
      <rPr>
        <sz val="10"/>
        <color rgb="FF595959"/>
        <rFont val="Arial"/>
        <family val="0"/>
        <charset val="1"/>
      </rPr>
      <t xml:space="preserve">23</t>
    </r>
    <r>
      <rPr>
        <sz val="10"/>
        <color rgb="FF595959"/>
        <rFont val="WenQuanYi Zen Hei"/>
        <family val="2"/>
      </rPr>
      <t xml:space="preserve">）。</t>
    </r>
  </si>
  <si>
    <r>
      <rPr>
        <sz val="10"/>
        <color rgb="FF595959"/>
        <rFont val="WenQuanYi Zen Hei"/>
        <family val="2"/>
      </rPr>
      <t xml:space="preserve">→ 平日・土日とも</t>
    </r>
    <r>
      <rPr>
        <sz val="10"/>
        <color rgb="FF595959"/>
        <rFont val="Arial"/>
        <family val="0"/>
        <charset val="1"/>
      </rPr>
      <t xml:space="preserve">7</t>
    </r>
    <r>
      <rPr>
        <sz val="10"/>
        <color rgb="FF595959"/>
        <rFont val="WenQuanYi Zen Hei"/>
        <family val="2"/>
      </rPr>
      <t xml:space="preserve">月がピークで、その後は毎月下がっています。</t>
    </r>
  </si>
  <si>
    <r>
      <rPr>
        <sz val="10"/>
        <color rgb="FF595959"/>
        <rFont val="WenQuanYi Zen Hei"/>
        <family val="2"/>
      </rPr>
      <t xml:space="preserve">※月曜始まりの週ごとの平均（横軸は週の月曜日）。平日・土日どちらかの報告がない週（</t>
    </r>
    <r>
      <rPr>
        <sz val="10"/>
        <color rgb="FF595959"/>
        <rFont val="Arial"/>
        <family val="0"/>
        <charset val="1"/>
      </rPr>
      <t xml:space="preserve">6/15</t>
    </r>
    <r>
      <rPr>
        <sz val="10"/>
        <color rgb="FF595959"/>
        <rFont val="WenQuanYi Zen Hei"/>
        <family val="2"/>
      </rPr>
      <t xml:space="preserve">週、</t>
    </r>
    <r>
      <rPr>
        <sz val="10"/>
        <color rgb="FF595959"/>
        <rFont val="Arial"/>
        <family val="0"/>
        <charset val="1"/>
      </rPr>
      <t xml:space="preserve">8/3</t>
    </r>
    <r>
      <rPr>
        <sz val="10"/>
        <color rgb="FF595959"/>
        <rFont val="WenQuanYi Zen Hei"/>
        <family val="2"/>
      </rPr>
      <t xml:space="preserve">週、</t>
    </r>
    <r>
      <rPr>
        <sz val="10"/>
        <color rgb="FF595959"/>
        <rFont val="Arial"/>
        <family val="0"/>
        <charset val="1"/>
      </rPr>
      <t xml:space="preserve">10/12</t>
    </r>
    <r>
      <rPr>
        <sz val="10"/>
        <color rgb="FF595959"/>
        <rFont val="WenQuanYi Zen Hei"/>
        <family val="2"/>
      </rPr>
      <t xml:space="preserve">週、</t>
    </r>
    <r>
      <rPr>
        <sz val="10"/>
        <color rgb="FF595959"/>
        <rFont val="Arial"/>
        <family val="0"/>
        <charset val="1"/>
      </rPr>
      <t xml:space="preserve">8/10</t>
    </r>
    <r>
      <rPr>
        <sz val="10"/>
        <color rgb="FF595959"/>
        <rFont val="WenQuanYi Zen Hei"/>
        <family val="2"/>
      </rPr>
      <t xml:space="preserve">週、</t>
    </r>
    <r>
      <rPr>
        <sz val="10"/>
        <color rgb="FF595959"/>
        <rFont val="Arial"/>
        <family val="0"/>
        <charset val="1"/>
      </rPr>
      <t xml:space="preserve">8/17</t>
    </r>
    <r>
      <rPr>
        <sz val="10"/>
        <color rgb="FF595959"/>
        <rFont val="WenQuanYi Zen Hei"/>
        <family val="2"/>
      </rPr>
      <t xml:space="preserve">週）は除いています。</t>
    </r>
  </si>
  <si>
    <r>
      <rPr>
        <sz val="10"/>
        <color rgb="FF595959"/>
        <rFont val="Arial"/>
        <family val="0"/>
        <charset val="1"/>
      </rPr>
      <t xml:space="preserve">※7/20</t>
    </r>
    <r>
      <rPr>
        <sz val="10"/>
        <color rgb="FF595959"/>
        <rFont val="WenQuanYi Zen Hei"/>
        <family val="2"/>
      </rPr>
      <t xml:space="preserve">週・</t>
    </r>
    <r>
      <rPr>
        <sz val="10"/>
        <color rgb="FF595959"/>
        <rFont val="Arial"/>
        <family val="0"/>
        <charset val="1"/>
      </rPr>
      <t xml:space="preserve">9/21</t>
    </r>
    <r>
      <rPr>
        <sz val="10"/>
        <color rgb="FF595959"/>
        <rFont val="WenQuanYi Zen Hei"/>
        <family val="2"/>
      </rPr>
      <t xml:space="preserve">週の平日が高いのは祝日（海の日・敬老の日など）を含むため。</t>
    </r>
  </si>
  <si>
    <t xml:space="preserve">日付</t>
  </si>
  <si>
    <t xml:space="preserve">曜日</t>
  </si>
  <si>
    <t xml:space="preserve">売上（円）</t>
  </si>
  <si>
    <t xml:space="preserve">報告者</t>
  </si>
  <si>
    <t xml:space="preserve">祝日</t>
  </si>
  <si>
    <t xml:space="preserve">備考</t>
  </si>
  <si>
    <t xml:space="preserve">かりん</t>
  </si>
  <si>
    <t xml:space="preserve">棚橋　拓馬</t>
  </si>
  <si>
    <t xml:space="preserve">もたい かずよし</t>
  </si>
  <si>
    <t xml:space="preserve">海の日</t>
  </si>
  <si>
    <t xml:space="preserve">大後戸あつし</t>
  </si>
  <si>
    <t xml:space="preserve">敬老の日</t>
  </si>
  <si>
    <t xml:space="preserve">国民の休日</t>
  </si>
  <si>
    <t xml:space="preserve">秋分の日</t>
  </si>
  <si>
    <t xml:space="preserve">スポーツの日</t>
  </si>
  <si>
    <t xml:space="preserve">日数</t>
  </si>
  <si>
    <r>
      <rPr>
        <b val="true"/>
        <sz val="11"/>
        <rFont val="Arial"/>
        <family val="0"/>
        <charset val="1"/>
      </rPr>
      <t xml:space="preserve">1</t>
    </r>
    <r>
      <rPr>
        <b val="true"/>
        <sz val="11"/>
        <rFont val="WenQuanYi Zen Hei"/>
        <family val="2"/>
      </rPr>
      <t xml:space="preserve">日平均</t>
    </r>
  </si>
  <si>
    <r>
      <rPr>
        <sz val="11"/>
        <rFont val="WenQuanYi Zen Hei"/>
        <family val="2"/>
      </rPr>
      <t xml:space="preserve">訂正後の値（当初報告 </t>
    </r>
    <r>
      <rPr>
        <sz val="11"/>
        <rFont val="Arial"/>
        <family val="0"/>
        <charset val="1"/>
      </rPr>
      <t xml:space="preserve">965,890</t>
    </r>
    <r>
      <rPr>
        <sz val="11"/>
        <rFont val="WenQuanYi Zen Hei"/>
        <family val="2"/>
      </rPr>
      <t xml:space="preserve">）</t>
    </r>
  </si>
  <si>
    <t xml:space="preserve">平日</t>
  </si>
  <si>
    <t xml:space="preserve">土日</t>
  </si>
  <si>
    <t xml:space="preserve">週（月曜）</t>
  </si>
  <si>
    <t xml:space="preserve">週の終わり</t>
  </si>
  <si>
    <t xml:space="preserve">グラフ用ラベル</t>
  </si>
  <si>
    <r>
      <rPr>
        <sz val="11"/>
        <rFont val="Arial"/>
        <family val="0"/>
        <charset val="1"/>
      </rPr>
      <t xml:space="preserve">6/22</t>
    </r>
    <r>
      <rPr>
        <sz val="11"/>
        <rFont val="WenQuanYi Zen Hei"/>
        <family val="2"/>
      </rPr>
      <t xml:space="preserve">週</t>
    </r>
  </si>
  <si>
    <r>
      <rPr>
        <sz val="11"/>
        <rFont val="Arial"/>
        <family val="0"/>
        <charset val="1"/>
      </rPr>
      <t xml:space="preserve">6/29</t>
    </r>
    <r>
      <rPr>
        <sz val="11"/>
        <rFont val="WenQuanYi Zen Hei"/>
        <family val="2"/>
      </rPr>
      <t xml:space="preserve">週</t>
    </r>
  </si>
  <si>
    <r>
      <rPr>
        <sz val="11"/>
        <rFont val="Arial"/>
        <family val="0"/>
        <charset val="1"/>
      </rPr>
      <t xml:space="preserve">7/6</t>
    </r>
    <r>
      <rPr>
        <sz val="11"/>
        <rFont val="WenQuanYi Zen Hei"/>
        <family val="2"/>
      </rPr>
      <t xml:space="preserve">週</t>
    </r>
  </si>
  <si>
    <r>
      <rPr>
        <sz val="11"/>
        <rFont val="Arial"/>
        <family val="0"/>
        <charset val="1"/>
      </rPr>
      <t xml:space="preserve">7/13</t>
    </r>
    <r>
      <rPr>
        <sz val="11"/>
        <rFont val="WenQuanYi Zen Hei"/>
        <family val="2"/>
      </rPr>
      <t xml:space="preserve">週</t>
    </r>
  </si>
  <si>
    <r>
      <rPr>
        <sz val="11"/>
        <rFont val="Arial"/>
        <family val="0"/>
        <charset val="1"/>
      </rPr>
      <t xml:space="preserve">7/20</t>
    </r>
    <r>
      <rPr>
        <sz val="11"/>
        <rFont val="WenQuanYi Zen Hei"/>
        <family val="2"/>
      </rPr>
      <t xml:space="preserve">週</t>
    </r>
  </si>
  <si>
    <r>
      <rPr>
        <sz val="11"/>
        <rFont val="Arial"/>
        <family val="0"/>
        <charset val="1"/>
      </rPr>
      <t xml:space="preserve">7/27</t>
    </r>
    <r>
      <rPr>
        <sz val="11"/>
        <rFont val="WenQuanYi Zen Hei"/>
        <family val="2"/>
      </rPr>
      <t xml:space="preserve">週</t>
    </r>
  </si>
  <si>
    <r>
      <rPr>
        <sz val="11"/>
        <rFont val="Arial"/>
        <family val="0"/>
        <charset val="1"/>
      </rPr>
      <t xml:space="preserve">8/24</t>
    </r>
    <r>
      <rPr>
        <sz val="11"/>
        <rFont val="WenQuanYi Zen Hei"/>
        <family val="2"/>
      </rPr>
      <t xml:space="preserve">週</t>
    </r>
  </si>
  <si>
    <r>
      <rPr>
        <sz val="11"/>
        <rFont val="Arial"/>
        <family val="0"/>
        <charset val="1"/>
      </rPr>
      <t xml:space="preserve">8/31</t>
    </r>
    <r>
      <rPr>
        <sz val="11"/>
        <rFont val="WenQuanYi Zen Hei"/>
        <family val="2"/>
      </rPr>
      <t xml:space="preserve">週</t>
    </r>
  </si>
  <si>
    <r>
      <rPr>
        <sz val="11"/>
        <rFont val="Arial"/>
        <family val="0"/>
        <charset val="1"/>
      </rPr>
      <t xml:space="preserve">9/7</t>
    </r>
    <r>
      <rPr>
        <sz val="11"/>
        <rFont val="WenQuanYi Zen Hei"/>
        <family val="2"/>
      </rPr>
      <t xml:space="preserve">週</t>
    </r>
  </si>
  <si>
    <r>
      <rPr>
        <sz val="11"/>
        <rFont val="Arial"/>
        <family val="0"/>
        <charset val="1"/>
      </rPr>
      <t xml:space="preserve">9/14</t>
    </r>
    <r>
      <rPr>
        <sz val="11"/>
        <rFont val="WenQuanYi Zen Hei"/>
        <family val="2"/>
      </rPr>
      <t xml:space="preserve">週</t>
    </r>
  </si>
  <si>
    <r>
      <rPr>
        <sz val="11"/>
        <rFont val="Arial"/>
        <family val="0"/>
        <charset val="1"/>
      </rPr>
      <t xml:space="preserve">9/21</t>
    </r>
    <r>
      <rPr>
        <sz val="11"/>
        <rFont val="WenQuanYi Zen Hei"/>
        <family val="2"/>
      </rPr>
      <t xml:space="preserve">週</t>
    </r>
  </si>
  <si>
    <r>
      <rPr>
        <sz val="11"/>
        <rFont val="Arial"/>
        <family val="0"/>
        <charset val="1"/>
      </rPr>
      <t xml:space="preserve">9/28</t>
    </r>
    <r>
      <rPr>
        <sz val="11"/>
        <rFont val="WenQuanYi Zen Hei"/>
        <family val="2"/>
      </rPr>
      <t xml:space="preserve">週</t>
    </r>
  </si>
  <si>
    <r>
      <rPr>
        <sz val="11"/>
        <rFont val="Arial"/>
        <family val="0"/>
        <charset val="1"/>
      </rPr>
      <t xml:space="preserve">10/5</t>
    </r>
    <r>
      <rPr>
        <sz val="11"/>
        <rFont val="WenQuanYi Zen Hei"/>
        <family val="2"/>
      </rPr>
      <t xml:space="preserve">週</t>
    </r>
  </si>
  <si>
    <r>
      <rPr>
        <sz val="9"/>
        <color rgb="FF595959"/>
        <rFont val="WenQuanYi Zen Hei"/>
        <family val="2"/>
      </rPr>
      <t xml:space="preserve">※平日・土日のどちらかの報告がない週は除外：</t>
    </r>
    <r>
      <rPr>
        <sz val="9"/>
        <color rgb="FF595959"/>
        <rFont val="Arial"/>
        <family val="0"/>
        <charset val="1"/>
      </rPr>
      <t xml:space="preserve">6/15</t>
    </r>
    <r>
      <rPr>
        <sz val="9"/>
        <color rgb="FF595959"/>
        <rFont val="WenQuanYi Zen Hei"/>
        <family val="2"/>
      </rPr>
      <t xml:space="preserve">週、</t>
    </r>
    <r>
      <rPr>
        <sz val="9"/>
        <color rgb="FF595959"/>
        <rFont val="Arial"/>
        <family val="0"/>
        <charset val="1"/>
      </rPr>
      <t xml:space="preserve">8/3</t>
    </r>
    <r>
      <rPr>
        <sz val="9"/>
        <color rgb="FF595959"/>
        <rFont val="WenQuanYi Zen Hei"/>
        <family val="2"/>
      </rPr>
      <t xml:space="preserve">週、</t>
    </r>
    <r>
      <rPr>
        <sz val="9"/>
        <color rgb="FF595959"/>
        <rFont val="Arial"/>
        <family val="0"/>
        <charset val="1"/>
      </rPr>
      <t xml:space="preserve">10/12</t>
    </r>
    <r>
      <rPr>
        <sz val="9"/>
        <color rgb="FF595959"/>
        <rFont val="WenQuanYi Zen Hei"/>
        <family val="2"/>
      </rPr>
      <t xml:space="preserve">週</t>
    </r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</si>
</sst>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\日"/>
    <numFmt numFmtId="166" formatCode="#,##0"/>
    <numFmt numFmtId="167" formatCode="0.0%"/>
    <numFmt numFmtId="168" formatCode="0.00\倍"/>
    <numFmt numFmtId="169" formatCode="#,##0,\千"/>
    <numFmt numFmtId="170" formatCode="#,##0,,&quot;百万&quot;"/>
    <numFmt numFmtId="171" formatCode="yyyy/mm/dd"/>
    <numFmt numFmtId="172" formatCode="m/d"/>
    <numFmt numFmtId="173" formatCode="m/d\週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b val="true"/>
      <sz val="14"/>
      <name val="Arial"/>
      <family val="0"/>
      <charset val="1"/>
    </font>
    <font>
      <b val="true"/>
      <sz val="11"/>
      <color rgb="FFFFFFFF"/>
      <name val="WenQuanYi Zen Hei"/>
      <family val="2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name val="WenQuanYi Zen Hei"/>
      <family val="2"/>
    </font>
    <font>
      <b val="true"/>
      <sz val="11"/>
      <name val="WenQuanYi Zen Hei"/>
      <family val="2"/>
    </font>
    <font>
      <b val="true"/>
      <sz val="11"/>
      <name val="Arial"/>
      <family val="0"/>
      <charset val="1"/>
    </font>
    <font>
      <sz val="9"/>
      <color rgb="FF595959"/>
      <name val="WenQuanYi Zen Hei"/>
      <family val="2"/>
    </font>
    <font>
      <sz val="9"/>
      <color rgb="FF595959"/>
      <name val="Arial"/>
      <family val="0"/>
      <charset val="1"/>
    </font>
    <font>
      <sz val="10"/>
      <color rgb="FF595959"/>
      <name val="WenQuanYi Zen Hei"/>
      <family val="2"/>
    </font>
    <font>
      <sz val="10"/>
      <color rgb="FF595959"/>
      <name val="Arial"/>
      <family val="0"/>
      <charset val="1"/>
    </font>
    <font>
      <b val="true"/>
      <sz val="18"/>
      <color rgb="FF000000"/>
      <name val="Calibri"/>
      <family val="2"/>
    </font>
    <font>
      <b val="true"/>
      <sz val="18"/>
      <color rgb="FF000000"/>
      <name val="WenQuanYi Zen Hei"/>
      <family val="2"/>
    </font>
    <font>
      <sz val="10"/>
      <color rgb="FF000000"/>
      <name val="Calibri"/>
      <family val="2"/>
    </font>
    <font>
      <sz val="11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2A78D6"/>
        <bgColor rgb="FF0066CC"/>
      </patternFill>
    </fill>
    <fill>
      <patternFill patternType="solid">
        <fgColor rgb="FFEB6834"/>
        <bgColor rgb="FFFF8080"/>
      </patternFill>
    </fill>
    <fill>
      <patternFill patternType="solid">
        <fgColor rgb="FFE7E6E6"/>
        <bgColor rgb="FFE3E2D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E7E6E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3E2DE"/>
      <rgbColor rgb="FFFFFF99"/>
      <rgbColor rgb="FF99CCFF"/>
      <rgbColor rgb="FFFF99CC"/>
      <rgbColor rgb="FFCC99FF"/>
      <rgbColor rgb="FFFFCC99"/>
      <rgbColor rgb="FF2A78D6"/>
      <rgbColor rgb="FF33CCCC"/>
      <rgbColor rgb="FF99CC00"/>
      <rgbColor rgb="FFFFCC00"/>
      <rgbColor rgb="FFFF9900"/>
      <rgbColor rgb="FFEB6834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① 1日あたり平均売上（円）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"平日 1日平均"</c:f>
              <c:strCache>
                <c:ptCount val="1"/>
                <c:pt idx="0">
                  <c:v>平日 1日平均</c:v>
                </c:pt>
              </c:strCache>
            </c:strRef>
          </c:tx>
          <c:spPr>
            <a:solidFill>
              <a:srgbClr val="2a78d6"/>
            </a:solidFill>
            <a:ln w="0">
              <a:noFill/>
            </a:ln>
          </c:spPr>
          <c:invertIfNegative val="0"/>
          <c:dLbls>
            <c:numFmt formatCode="#,##0,\千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月別集計!$A$4:$A$8</c:f>
              <c:strCache>
                <c:ptCount val="5"/>
                <c:pt idx="0">
                  <c:v>6月</c:v>
                </c:pt>
                <c:pt idx="1">
                  <c:v>7月</c:v>
                </c:pt>
                <c:pt idx="2">
                  <c:v>8月</c:v>
                </c:pt>
                <c:pt idx="3">
                  <c:v>9月</c:v>
                </c:pt>
                <c:pt idx="4">
                  <c:v>10月</c:v>
                </c:pt>
              </c:strCache>
            </c:strRef>
          </c:cat>
          <c:val>
            <c:numRef>
              <c:f>月別集計!$D$4:$D$8</c:f>
              <c:numCache>
                <c:formatCode>#,##0</c:formatCode>
                <c:ptCount val="5"/>
                <c:pt idx="0">
                  <c:v>380992.857142857</c:v>
                </c:pt>
                <c:pt idx="1">
                  <c:v>421276.842105263</c:v>
                </c:pt>
                <c:pt idx="2">
                  <c:v>336752.727272727</c:v>
                </c:pt>
                <c:pt idx="3">
                  <c:v>279522.272727273</c:v>
                </c:pt>
                <c:pt idx="4">
                  <c:v>230350.909090909</c:v>
                </c:pt>
              </c:numCache>
            </c:numRef>
          </c:val>
        </c:ser>
        <c:ser>
          <c:idx val="1"/>
          <c:order val="1"/>
          <c:tx>
            <c:strRef>
              <c:f>"土日 1日平均"</c:f>
              <c:strCache>
                <c:ptCount val="1"/>
                <c:pt idx="0">
                  <c:v>土日 1日平均</c:v>
                </c:pt>
              </c:strCache>
            </c:strRef>
          </c:tx>
          <c:spPr>
            <a:solidFill>
              <a:srgbClr val="eb6834"/>
            </a:solidFill>
            <a:ln w="0">
              <a:noFill/>
            </a:ln>
          </c:spPr>
          <c:invertIfNegative val="0"/>
          <c:dLbls>
            <c:numFmt formatCode="#,##0,\千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月別集計!$A$4:$A$8</c:f>
              <c:strCache>
                <c:ptCount val="5"/>
                <c:pt idx="0">
                  <c:v>6月</c:v>
                </c:pt>
                <c:pt idx="1">
                  <c:v>7月</c:v>
                </c:pt>
                <c:pt idx="2">
                  <c:v>8月</c:v>
                </c:pt>
                <c:pt idx="3">
                  <c:v>9月</c:v>
                </c:pt>
                <c:pt idx="4">
                  <c:v>10月</c:v>
                </c:pt>
              </c:strCache>
            </c:strRef>
          </c:cat>
          <c:val>
            <c:numRef>
              <c:f>月別集計!$G$4:$G$8</c:f>
              <c:numCache>
                <c:formatCode>#,##0</c:formatCode>
                <c:ptCount val="5"/>
                <c:pt idx="0">
                  <c:v>686633.333333333</c:v>
                </c:pt>
                <c:pt idx="1">
                  <c:v>726590</c:v>
                </c:pt>
                <c:pt idx="2">
                  <c:v>602112.5</c:v>
                </c:pt>
                <c:pt idx="3">
                  <c:v>537923.75</c:v>
                </c:pt>
                <c:pt idx="4">
                  <c:v>484307.5</c:v>
                </c:pt>
              </c:numCache>
            </c:numRef>
          </c:val>
        </c:ser>
        <c:gapWidth val="60"/>
        <c:overlap val="-8"/>
        <c:axId val="45006421"/>
        <c:axId val="93800221"/>
      </c:barChart>
      <c:catAx>
        <c:axId val="4500642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800221"/>
        <c:crosses val="autoZero"/>
        <c:auto val="1"/>
        <c:lblAlgn val="ctr"/>
        <c:lblOffset val="100"/>
        <c:noMultiLvlLbl val="0"/>
      </c:catAx>
      <c:valAx>
        <c:axId val="93800221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3e2de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006421"/>
        <c:crosses val="autoZero"/>
        <c:crossBetween val="between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② 月別売上合計（円）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"平日"</c:f>
              <c:strCache>
                <c:ptCount val="1"/>
                <c:pt idx="0">
                  <c:v>平日</c:v>
                </c:pt>
              </c:strCache>
            </c:strRef>
          </c:tx>
          <c:spPr>
            <a:solidFill>
              <a:srgbClr val="2a78d6"/>
            </a:solidFill>
            <a:ln w="0">
              <a:solidFill>
                <a:srgbClr val="ffffff"/>
              </a:solidFill>
            </a:ln>
          </c:spPr>
          <c:invertIfNegative val="0"/>
          <c:dLbls>
            <c:numFmt formatCode="#,##0,\千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月別集計!$A$4:$A$8</c:f>
              <c:strCache>
                <c:ptCount val="5"/>
                <c:pt idx="0">
                  <c:v>6月</c:v>
                </c:pt>
                <c:pt idx="1">
                  <c:v>7月</c:v>
                </c:pt>
                <c:pt idx="2">
                  <c:v>8月</c:v>
                </c:pt>
                <c:pt idx="3">
                  <c:v>9月</c:v>
                </c:pt>
                <c:pt idx="4">
                  <c:v>10月</c:v>
                </c:pt>
              </c:strCache>
            </c:strRef>
          </c:cat>
          <c:val>
            <c:numRef>
              <c:f>月別集計!$C$4:$C$8</c:f>
              <c:numCache>
                <c:formatCode>#,##0</c:formatCode>
                <c:ptCount val="5"/>
                <c:pt idx="0">
                  <c:v>2666950</c:v>
                </c:pt>
                <c:pt idx="1">
                  <c:v>8004260</c:v>
                </c:pt>
                <c:pt idx="2">
                  <c:v>3704280</c:v>
                </c:pt>
                <c:pt idx="3">
                  <c:v>6149490</c:v>
                </c:pt>
                <c:pt idx="4">
                  <c:v>2533860</c:v>
                </c:pt>
              </c:numCache>
            </c:numRef>
          </c:val>
        </c:ser>
        <c:ser>
          <c:idx val="1"/>
          <c:order val="1"/>
          <c:tx>
            <c:strRef>
              <c:f>"土日"</c:f>
              <c:strCache>
                <c:ptCount val="1"/>
                <c:pt idx="0">
                  <c:v>土日</c:v>
                </c:pt>
              </c:strCache>
            </c:strRef>
          </c:tx>
          <c:spPr>
            <a:solidFill>
              <a:srgbClr val="eb6834"/>
            </a:solidFill>
            <a:ln w="0">
              <a:solidFill>
                <a:srgbClr val="ffffff"/>
              </a:solidFill>
            </a:ln>
          </c:spPr>
          <c:invertIfNegative val="0"/>
          <c:dLbls>
            <c:numFmt formatCode="#,##0,\千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月別集計!$A$4:$A$8</c:f>
              <c:strCache>
                <c:ptCount val="5"/>
                <c:pt idx="0">
                  <c:v>6月</c:v>
                </c:pt>
                <c:pt idx="1">
                  <c:v>7月</c:v>
                </c:pt>
                <c:pt idx="2">
                  <c:v>8月</c:v>
                </c:pt>
                <c:pt idx="3">
                  <c:v>9月</c:v>
                </c:pt>
                <c:pt idx="4">
                  <c:v>10月</c:v>
                </c:pt>
              </c:strCache>
            </c:strRef>
          </c:cat>
          <c:val>
            <c:numRef>
              <c:f>月別集計!$F$4:$F$8</c:f>
              <c:numCache>
                <c:formatCode>#,##0</c:formatCode>
                <c:ptCount val="5"/>
                <c:pt idx="0">
                  <c:v>2059900</c:v>
                </c:pt>
                <c:pt idx="1">
                  <c:v>5812720</c:v>
                </c:pt>
                <c:pt idx="2">
                  <c:v>2408450</c:v>
                </c:pt>
                <c:pt idx="3">
                  <c:v>4303390</c:v>
                </c:pt>
                <c:pt idx="4">
                  <c:v>1937230</c:v>
                </c:pt>
              </c:numCache>
            </c:numRef>
          </c:val>
        </c:ser>
        <c:gapWidth val="60"/>
        <c:overlap val="100"/>
        <c:axId val="48371873"/>
        <c:axId val="82728263"/>
      </c:barChart>
      <c:catAx>
        <c:axId val="483718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728263"/>
        <c:crosses val="autoZero"/>
        <c:auto val="1"/>
        <c:lblAlgn val="ctr"/>
        <c:lblOffset val="100"/>
        <c:noMultiLvlLbl val="0"/>
      </c:catAx>
      <c:valAx>
        <c:axId val="82728263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3e2de"/>
              </a:solidFill>
              <a:round/>
            </a:ln>
          </c:spPr>
        </c:majorGridlines>
        <c:numFmt formatCode="#,##0,,&quot;百万&quot;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371873"/>
        <c:crosses val="autoZero"/>
        <c:crossBetween val="between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③ 日別売上の推移（円）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日別推移データ!B1</c:f>
              <c:strCache>
                <c:ptCount val="1"/>
                <c:pt idx="0">
                  <c:v>平日</c:v>
                </c:pt>
              </c:strCache>
            </c:strRef>
          </c:tx>
          <c:spPr>
            <a:solidFill>
              <a:srgbClr val="2a78d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日別推移データ!$A$2:$A$98</c:f>
              <c:strCache>
                <c:ptCount val="97"/>
                <c:pt idx="0">
                  <c:v>6/21</c:v>
                </c:pt>
                <c:pt idx="1">
                  <c:v>6/22</c:v>
                </c:pt>
                <c:pt idx="2">
                  <c:v>6/23</c:v>
                </c:pt>
                <c:pt idx="3">
                  <c:v>6/24</c:v>
                </c:pt>
                <c:pt idx="4">
                  <c:v>6/25</c:v>
                </c:pt>
                <c:pt idx="5">
                  <c:v>6/26</c:v>
                </c:pt>
                <c:pt idx="6">
                  <c:v>6/27</c:v>
                </c:pt>
                <c:pt idx="7">
                  <c:v>6/28</c:v>
                </c:pt>
                <c:pt idx="8">
                  <c:v>6/29</c:v>
                </c:pt>
                <c:pt idx="9">
                  <c:v>6/30</c:v>
                </c:pt>
                <c:pt idx="10">
                  <c:v>7/1</c:v>
                </c:pt>
                <c:pt idx="11">
                  <c:v>7/2</c:v>
                </c:pt>
                <c:pt idx="12">
                  <c:v>7/3</c:v>
                </c:pt>
                <c:pt idx="13">
                  <c:v>7/4</c:v>
                </c:pt>
                <c:pt idx="14">
                  <c:v>7/5</c:v>
                </c:pt>
                <c:pt idx="15">
                  <c:v>7/6</c:v>
                </c:pt>
                <c:pt idx="16">
                  <c:v>7/7</c:v>
                </c:pt>
                <c:pt idx="17">
                  <c:v>7/8</c:v>
                </c:pt>
                <c:pt idx="18">
                  <c:v>7/9</c:v>
                </c:pt>
                <c:pt idx="19">
                  <c:v>7/10</c:v>
                </c:pt>
                <c:pt idx="20">
                  <c:v>7/11</c:v>
                </c:pt>
                <c:pt idx="21">
                  <c:v>7/12</c:v>
                </c:pt>
                <c:pt idx="22">
                  <c:v>7/13</c:v>
                </c:pt>
                <c:pt idx="23">
                  <c:v>7/14</c:v>
                </c:pt>
                <c:pt idx="24">
                  <c:v>7/15</c:v>
                </c:pt>
                <c:pt idx="25">
                  <c:v>7/16</c:v>
                </c:pt>
                <c:pt idx="26">
                  <c:v>7/17</c:v>
                </c:pt>
                <c:pt idx="27">
                  <c:v>7/18</c:v>
                </c:pt>
                <c:pt idx="28">
                  <c:v>7/19</c:v>
                </c:pt>
                <c:pt idx="29">
                  <c:v>7/20</c:v>
                </c:pt>
                <c:pt idx="30">
                  <c:v>7/25</c:v>
                </c:pt>
                <c:pt idx="31">
                  <c:v>7/26</c:v>
                </c:pt>
                <c:pt idx="32">
                  <c:v>7/27</c:v>
                </c:pt>
                <c:pt idx="33">
                  <c:v>7/28</c:v>
                </c:pt>
                <c:pt idx="34">
                  <c:v>7/29</c:v>
                </c:pt>
                <c:pt idx="35">
                  <c:v>7/30</c:v>
                </c:pt>
                <c:pt idx="36">
                  <c:v>7/31</c:v>
                </c:pt>
                <c:pt idx="37">
                  <c:v>8/1</c:v>
                </c:pt>
                <c:pt idx="38">
                  <c:v>8/2</c:v>
                </c:pt>
                <c:pt idx="39">
                  <c:v>8/3</c:v>
                </c:pt>
                <c:pt idx="40">
                  <c:v>8/4</c:v>
                </c:pt>
                <c:pt idx="41">
                  <c:v>8/5</c:v>
                </c:pt>
                <c:pt idx="42">
                  <c:v>8/6</c:v>
                </c:pt>
                <c:pt idx="43">
                  <c:v>8/7</c:v>
                </c:pt>
                <c:pt idx="44">
                  <c:v>8/24</c:v>
                </c:pt>
                <c:pt idx="45">
                  <c:v>8/25</c:v>
                </c:pt>
                <c:pt idx="46">
                  <c:v>8/26</c:v>
                </c:pt>
                <c:pt idx="47">
                  <c:v>8/27</c:v>
                </c:pt>
                <c:pt idx="48">
                  <c:v>8/28</c:v>
                </c:pt>
                <c:pt idx="49">
                  <c:v>8/29</c:v>
                </c:pt>
                <c:pt idx="50">
                  <c:v>8/30</c:v>
                </c:pt>
                <c:pt idx="51">
                  <c:v>8/31</c:v>
                </c:pt>
                <c:pt idx="52">
                  <c:v>9/1</c:v>
                </c:pt>
                <c:pt idx="53">
                  <c:v>9/2</c:v>
                </c:pt>
                <c:pt idx="54">
                  <c:v>9/3</c:v>
                </c:pt>
                <c:pt idx="55">
                  <c:v>9/4</c:v>
                </c:pt>
                <c:pt idx="56">
                  <c:v>9/5</c:v>
                </c:pt>
                <c:pt idx="57">
                  <c:v>9/6</c:v>
                </c:pt>
                <c:pt idx="58">
                  <c:v>9/7</c:v>
                </c:pt>
                <c:pt idx="59">
                  <c:v>9/8</c:v>
                </c:pt>
                <c:pt idx="60">
                  <c:v>9/9</c:v>
                </c:pt>
                <c:pt idx="61">
                  <c:v>9/10</c:v>
                </c:pt>
                <c:pt idx="62">
                  <c:v>9/11</c:v>
                </c:pt>
                <c:pt idx="63">
                  <c:v>9/12</c:v>
                </c:pt>
                <c:pt idx="64">
                  <c:v>9/13</c:v>
                </c:pt>
                <c:pt idx="65">
                  <c:v>9/14</c:v>
                </c:pt>
                <c:pt idx="66">
                  <c:v>9/15</c:v>
                </c:pt>
                <c:pt idx="67">
                  <c:v>9/16</c:v>
                </c:pt>
                <c:pt idx="68">
                  <c:v>9/17</c:v>
                </c:pt>
                <c:pt idx="69">
                  <c:v>9/18</c:v>
                </c:pt>
                <c:pt idx="70">
                  <c:v>9/19</c:v>
                </c:pt>
                <c:pt idx="71">
                  <c:v>9/20</c:v>
                </c:pt>
                <c:pt idx="72">
                  <c:v>9/21</c:v>
                </c:pt>
                <c:pt idx="73">
                  <c:v>9/22</c:v>
                </c:pt>
                <c:pt idx="74">
                  <c:v>9/23</c:v>
                </c:pt>
                <c:pt idx="75">
                  <c:v>9/24</c:v>
                </c:pt>
                <c:pt idx="76">
                  <c:v>9/25</c:v>
                </c:pt>
                <c:pt idx="77">
                  <c:v>9/26</c:v>
                </c:pt>
                <c:pt idx="78">
                  <c:v>9/27</c:v>
                </c:pt>
                <c:pt idx="79">
                  <c:v>9/28</c:v>
                </c:pt>
                <c:pt idx="80">
                  <c:v>9/29</c:v>
                </c:pt>
                <c:pt idx="81">
                  <c:v>9/30</c:v>
                </c:pt>
                <c:pt idx="82">
                  <c:v>10/1</c:v>
                </c:pt>
                <c:pt idx="83">
                  <c:v>10/2</c:v>
                </c:pt>
                <c:pt idx="84">
                  <c:v>10/3</c:v>
                </c:pt>
                <c:pt idx="85">
                  <c:v>10/4</c:v>
                </c:pt>
                <c:pt idx="86">
                  <c:v>10/5</c:v>
                </c:pt>
                <c:pt idx="87">
                  <c:v>10/6</c:v>
                </c:pt>
                <c:pt idx="88">
                  <c:v>10/7</c:v>
                </c:pt>
                <c:pt idx="89">
                  <c:v>10/8</c:v>
                </c:pt>
                <c:pt idx="90">
                  <c:v>10/9</c:v>
                </c:pt>
                <c:pt idx="91">
                  <c:v>10/10</c:v>
                </c:pt>
                <c:pt idx="92">
                  <c:v>10/11</c:v>
                </c:pt>
                <c:pt idx="93">
                  <c:v>10/12</c:v>
                </c:pt>
                <c:pt idx="94">
                  <c:v>10/13</c:v>
                </c:pt>
                <c:pt idx="95">
                  <c:v>10/14</c:v>
                </c:pt>
                <c:pt idx="96">
                  <c:v>10/15</c:v>
                </c:pt>
              </c:strCache>
            </c:strRef>
          </c:cat>
          <c:val>
            <c:numRef>
              <c:f>日別推移データ!$B$2:$B$98</c:f>
              <c:numCache>
                <c:formatCode>#,##0</c:formatCode>
                <c:ptCount val="97"/>
                <c:pt idx="1">
                  <c:v>386840</c:v>
                </c:pt>
                <c:pt idx="2">
                  <c:v>377840</c:v>
                </c:pt>
                <c:pt idx="3">
                  <c:v>428620</c:v>
                </c:pt>
                <c:pt idx="4">
                  <c:v>374210</c:v>
                </c:pt>
                <c:pt idx="5">
                  <c:v>459300</c:v>
                </c:pt>
                <c:pt idx="8">
                  <c:v>335720</c:v>
                </c:pt>
                <c:pt idx="9">
                  <c:v>304420</c:v>
                </c:pt>
                <c:pt idx="10">
                  <c:v>454040</c:v>
                </c:pt>
                <c:pt idx="11">
                  <c:v>421760</c:v>
                </c:pt>
                <c:pt idx="12">
                  <c:v>526640</c:v>
                </c:pt>
                <c:pt idx="15">
                  <c:v>294280</c:v>
                </c:pt>
                <c:pt idx="16">
                  <c:v>332760</c:v>
                </c:pt>
                <c:pt idx="17">
                  <c:v>375800</c:v>
                </c:pt>
                <c:pt idx="18">
                  <c:v>425290</c:v>
                </c:pt>
                <c:pt idx="19">
                  <c:v>474820</c:v>
                </c:pt>
                <c:pt idx="22">
                  <c:v>372650</c:v>
                </c:pt>
                <c:pt idx="23">
                  <c:v>289840</c:v>
                </c:pt>
                <c:pt idx="24">
                  <c:v>418780</c:v>
                </c:pt>
                <c:pt idx="25">
                  <c:v>459900</c:v>
                </c:pt>
                <c:pt idx="26">
                  <c:v>493180</c:v>
                </c:pt>
                <c:pt idx="29">
                  <c:v>597070</c:v>
                </c:pt>
                <c:pt idx="32">
                  <c:v>395610</c:v>
                </c:pt>
                <c:pt idx="33">
                  <c:v>357540</c:v>
                </c:pt>
                <c:pt idx="34">
                  <c:v>383270</c:v>
                </c:pt>
                <c:pt idx="35">
                  <c:v>397380</c:v>
                </c:pt>
                <c:pt idx="36">
                  <c:v>533650</c:v>
                </c:pt>
                <c:pt idx="39">
                  <c:v>363910</c:v>
                </c:pt>
                <c:pt idx="40">
                  <c:v>360990</c:v>
                </c:pt>
                <c:pt idx="41">
                  <c:v>383160</c:v>
                </c:pt>
                <c:pt idx="42">
                  <c:v>388830</c:v>
                </c:pt>
                <c:pt idx="43">
                  <c:v>449020</c:v>
                </c:pt>
                <c:pt idx="44">
                  <c:v>268730</c:v>
                </c:pt>
                <c:pt idx="45">
                  <c:v>256280</c:v>
                </c:pt>
                <c:pt idx="46">
                  <c:v>351140</c:v>
                </c:pt>
                <c:pt idx="47">
                  <c:v>299580</c:v>
                </c:pt>
                <c:pt idx="48">
                  <c:v>362970</c:v>
                </c:pt>
                <c:pt idx="51">
                  <c:v>219670</c:v>
                </c:pt>
                <c:pt idx="52">
                  <c:v>228460</c:v>
                </c:pt>
                <c:pt idx="53">
                  <c:v>214940</c:v>
                </c:pt>
                <c:pt idx="54">
                  <c:v>263030</c:v>
                </c:pt>
                <c:pt idx="55">
                  <c:v>212930</c:v>
                </c:pt>
                <c:pt idx="58">
                  <c:v>207730</c:v>
                </c:pt>
                <c:pt idx="59">
                  <c:v>335170</c:v>
                </c:pt>
                <c:pt idx="60">
                  <c:v>212760</c:v>
                </c:pt>
                <c:pt idx="61">
                  <c:v>294500</c:v>
                </c:pt>
                <c:pt idx="62">
                  <c:v>320850</c:v>
                </c:pt>
                <c:pt idx="65">
                  <c:v>215510</c:v>
                </c:pt>
                <c:pt idx="66">
                  <c:v>167060</c:v>
                </c:pt>
                <c:pt idx="67">
                  <c:v>392050</c:v>
                </c:pt>
                <c:pt idx="68">
                  <c:v>259100</c:v>
                </c:pt>
                <c:pt idx="69">
                  <c:v>278990</c:v>
                </c:pt>
                <c:pt idx="72">
                  <c:v>606440</c:v>
                </c:pt>
                <c:pt idx="73">
                  <c:v>471650</c:v>
                </c:pt>
                <c:pt idx="74">
                  <c:v>425490</c:v>
                </c:pt>
                <c:pt idx="75">
                  <c:v>223490</c:v>
                </c:pt>
                <c:pt idx="76">
                  <c:v>235170</c:v>
                </c:pt>
                <c:pt idx="79">
                  <c:v>175910</c:v>
                </c:pt>
                <c:pt idx="80">
                  <c:v>203590</c:v>
                </c:pt>
                <c:pt idx="81">
                  <c:v>204670</c:v>
                </c:pt>
                <c:pt idx="82">
                  <c:v>165390</c:v>
                </c:pt>
                <c:pt idx="83">
                  <c:v>250680</c:v>
                </c:pt>
                <c:pt idx="86">
                  <c:v>190960</c:v>
                </c:pt>
                <c:pt idx="87">
                  <c:v>237070</c:v>
                </c:pt>
                <c:pt idx="88">
                  <c:v>264350</c:v>
                </c:pt>
                <c:pt idx="89">
                  <c:v>211130</c:v>
                </c:pt>
                <c:pt idx="90">
                  <c:v>247550</c:v>
                </c:pt>
                <c:pt idx="93">
                  <c:v>344250</c:v>
                </c:pt>
                <c:pt idx="94">
                  <c:v>167680</c:v>
                </c:pt>
                <c:pt idx="95">
                  <c:v>241620</c:v>
                </c:pt>
                <c:pt idx="96">
                  <c:v>213180</c:v>
                </c:pt>
              </c:numCache>
            </c:numRef>
          </c:val>
        </c:ser>
        <c:ser>
          <c:idx val="1"/>
          <c:order val="1"/>
          <c:tx>
            <c:strRef>
              <c:f>日別推移データ!C1</c:f>
              <c:strCache>
                <c:ptCount val="1"/>
                <c:pt idx="0">
                  <c:v>土日</c:v>
                </c:pt>
              </c:strCache>
            </c:strRef>
          </c:tx>
          <c:spPr>
            <a:solidFill>
              <a:srgbClr val="eb683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日別推移データ!$A$2:$A$98</c:f>
              <c:strCache>
                <c:ptCount val="97"/>
                <c:pt idx="0">
                  <c:v>6/21</c:v>
                </c:pt>
                <c:pt idx="1">
                  <c:v>6/22</c:v>
                </c:pt>
                <c:pt idx="2">
                  <c:v>6/23</c:v>
                </c:pt>
                <c:pt idx="3">
                  <c:v>6/24</c:v>
                </c:pt>
                <c:pt idx="4">
                  <c:v>6/25</c:v>
                </c:pt>
                <c:pt idx="5">
                  <c:v>6/26</c:v>
                </c:pt>
                <c:pt idx="6">
                  <c:v>6/27</c:v>
                </c:pt>
                <c:pt idx="7">
                  <c:v>6/28</c:v>
                </c:pt>
                <c:pt idx="8">
                  <c:v>6/29</c:v>
                </c:pt>
                <c:pt idx="9">
                  <c:v>6/30</c:v>
                </c:pt>
                <c:pt idx="10">
                  <c:v>7/1</c:v>
                </c:pt>
                <c:pt idx="11">
                  <c:v>7/2</c:v>
                </c:pt>
                <c:pt idx="12">
                  <c:v>7/3</c:v>
                </c:pt>
                <c:pt idx="13">
                  <c:v>7/4</c:v>
                </c:pt>
                <c:pt idx="14">
                  <c:v>7/5</c:v>
                </c:pt>
                <c:pt idx="15">
                  <c:v>7/6</c:v>
                </c:pt>
                <c:pt idx="16">
                  <c:v>7/7</c:v>
                </c:pt>
                <c:pt idx="17">
                  <c:v>7/8</c:v>
                </c:pt>
                <c:pt idx="18">
                  <c:v>7/9</c:v>
                </c:pt>
                <c:pt idx="19">
                  <c:v>7/10</c:v>
                </c:pt>
                <c:pt idx="20">
                  <c:v>7/11</c:v>
                </c:pt>
                <c:pt idx="21">
                  <c:v>7/12</c:v>
                </c:pt>
                <c:pt idx="22">
                  <c:v>7/13</c:v>
                </c:pt>
                <c:pt idx="23">
                  <c:v>7/14</c:v>
                </c:pt>
                <c:pt idx="24">
                  <c:v>7/15</c:v>
                </c:pt>
                <c:pt idx="25">
                  <c:v>7/16</c:v>
                </c:pt>
                <c:pt idx="26">
                  <c:v>7/17</c:v>
                </c:pt>
                <c:pt idx="27">
                  <c:v>7/18</c:v>
                </c:pt>
                <c:pt idx="28">
                  <c:v>7/19</c:v>
                </c:pt>
                <c:pt idx="29">
                  <c:v>7/20</c:v>
                </c:pt>
                <c:pt idx="30">
                  <c:v>7/25</c:v>
                </c:pt>
                <c:pt idx="31">
                  <c:v>7/26</c:v>
                </c:pt>
                <c:pt idx="32">
                  <c:v>7/27</c:v>
                </c:pt>
                <c:pt idx="33">
                  <c:v>7/28</c:v>
                </c:pt>
                <c:pt idx="34">
                  <c:v>7/29</c:v>
                </c:pt>
                <c:pt idx="35">
                  <c:v>7/30</c:v>
                </c:pt>
                <c:pt idx="36">
                  <c:v>7/31</c:v>
                </c:pt>
                <c:pt idx="37">
                  <c:v>8/1</c:v>
                </c:pt>
                <c:pt idx="38">
                  <c:v>8/2</c:v>
                </c:pt>
                <c:pt idx="39">
                  <c:v>8/3</c:v>
                </c:pt>
                <c:pt idx="40">
                  <c:v>8/4</c:v>
                </c:pt>
                <c:pt idx="41">
                  <c:v>8/5</c:v>
                </c:pt>
                <c:pt idx="42">
                  <c:v>8/6</c:v>
                </c:pt>
                <c:pt idx="43">
                  <c:v>8/7</c:v>
                </c:pt>
                <c:pt idx="44">
                  <c:v>8/24</c:v>
                </c:pt>
                <c:pt idx="45">
                  <c:v>8/25</c:v>
                </c:pt>
                <c:pt idx="46">
                  <c:v>8/26</c:v>
                </c:pt>
                <c:pt idx="47">
                  <c:v>8/27</c:v>
                </c:pt>
                <c:pt idx="48">
                  <c:v>8/28</c:v>
                </c:pt>
                <c:pt idx="49">
                  <c:v>8/29</c:v>
                </c:pt>
                <c:pt idx="50">
                  <c:v>8/30</c:v>
                </c:pt>
                <c:pt idx="51">
                  <c:v>8/31</c:v>
                </c:pt>
                <c:pt idx="52">
                  <c:v>9/1</c:v>
                </c:pt>
                <c:pt idx="53">
                  <c:v>9/2</c:v>
                </c:pt>
                <c:pt idx="54">
                  <c:v>9/3</c:v>
                </c:pt>
                <c:pt idx="55">
                  <c:v>9/4</c:v>
                </c:pt>
                <c:pt idx="56">
                  <c:v>9/5</c:v>
                </c:pt>
                <c:pt idx="57">
                  <c:v>9/6</c:v>
                </c:pt>
                <c:pt idx="58">
                  <c:v>9/7</c:v>
                </c:pt>
                <c:pt idx="59">
                  <c:v>9/8</c:v>
                </c:pt>
                <c:pt idx="60">
                  <c:v>9/9</c:v>
                </c:pt>
                <c:pt idx="61">
                  <c:v>9/10</c:v>
                </c:pt>
                <c:pt idx="62">
                  <c:v>9/11</c:v>
                </c:pt>
                <c:pt idx="63">
                  <c:v>9/12</c:v>
                </c:pt>
                <c:pt idx="64">
                  <c:v>9/13</c:v>
                </c:pt>
                <c:pt idx="65">
                  <c:v>9/14</c:v>
                </c:pt>
                <c:pt idx="66">
                  <c:v>9/15</c:v>
                </c:pt>
                <c:pt idx="67">
                  <c:v>9/16</c:v>
                </c:pt>
                <c:pt idx="68">
                  <c:v>9/17</c:v>
                </c:pt>
                <c:pt idx="69">
                  <c:v>9/18</c:v>
                </c:pt>
                <c:pt idx="70">
                  <c:v>9/19</c:v>
                </c:pt>
                <c:pt idx="71">
                  <c:v>9/20</c:v>
                </c:pt>
                <c:pt idx="72">
                  <c:v>9/21</c:v>
                </c:pt>
                <c:pt idx="73">
                  <c:v>9/22</c:v>
                </c:pt>
                <c:pt idx="74">
                  <c:v>9/23</c:v>
                </c:pt>
                <c:pt idx="75">
                  <c:v>9/24</c:v>
                </c:pt>
                <c:pt idx="76">
                  <c:v>9/25</c:v>
                </c:pt>
                <c:pt idx="77">
                  <c:v>9/26</c:v>
                </c:pt>
                <c:pt idx="78">
                  <c:v>9/27</c:v>
                </c:pt>
                <c:pt idx="79">
                  <c:v>9/28</c:v>
                </c:pt>
                <c:pt idx="80">
                  <c:v>9/29</c:v>
                </c:pt>
                <c:pt idx="81">
                  <c:v>9/30</c:v>
                </c:pt>
                <c:pt idx="82">
                  <c:v>10/1</c:v>
                </c:pt>
                <c:pt idx="83">
                  <c:v>10/2</c:v>
                </c:pt>
                <c:pt idx="84">
                  <c:v>10/3</c:v>
                </c:pt>
                <c:pt idx="85">
                  <c:v>10/4</c:v>
                </c:pt>
                <c:pt idx="86">
                  <c:v>10/5</c:v>
                </c:pt>
                <c:pt idx="87">
                  <c:v>10/6</c:v>
                </c:pt>
                <c:pt idx="88">
                  <c:v>10/7</c:v>
                </c:pt>
                <c:pt idx="89">
                  <c:v>10/8</c:v>
                </c:pt>
                <c:pt idx="90">
                  <c:v>10/9</c:v>
                </c:pt>
                <c:pt idx="91">
                  <c:v>10/10</c:v>
                </c:pt>
                <c:pt idx="92">
                  <c:v>10/11</c:v>
                </c:pt>
                <c:pt idx="93">
                  <c:v>10/12</c:v>
                </c:pt>
                <c:pt idx="94">
                  <c:v>10/13</c:v>
                </c:pt>
                <c:pt idx="95">
                  <c:v>10/14</c:v>
                </c:pt>
                <c:pt idx="96">
                  <c:v>10/15</c:v>
                </c:pt>
              </c:strCache>
            </c:strRef>
          </c:cat>
          <c:val>
            <c:numRef>
              <c:f>日別推移データ!$C$2:$C$98</c:f>
              <c:numCache>
                <c:formatCode>#,##0</c:formatCode>
                <c:ptCount val="97"/>
                <c:pt idx="0">
                  <c:v>636370</c:v>
                </c:pt>
                <c:pt idx="6">
                  <c:v>716170</c:v>
                </c:pt>
                <c:pt idx="7">
                  <c:v>707360</c:v>
                </c:pt>
                <c:pt idx="13">
                  <c:v>833600</c:v>
                </c:pt>
                <c:pt idx="14">
                  <c:v>717490</c:v>
                </c:pt>
                <c:pt idx="20">
                  <c:v>773400</c:v>
                </c:pt>
                <c:pt idx="21">
                  <c:v>786550</c:v>
                </c:pt>
                <c:pt idx="27">
                  <c:v>652640</c:v>
                </c:pt>
                <c:pt idx="28">
                  <c:v>737850</c:v>
                </c:pt>
                <c:pt idx="30">
                  <c:v>615300</c:v>
                </c:pt>
                <c:pt idx="31">
                  <c:v>695890</c:v>
                </c:pt>
                <c:pt idx="37">
                  <c:v>664790</c:v>
                </c:pt>
                <c:pt idx="38">
                  <c:v>711580</c:v>
                </c:pt>
                <c:pt idx="49">
                  <c:v>554810</c:v>
                </c:pt>
                <c:pt idx="50">
                  <c:v>477270</c:v>
                </c:pt>
                <c:pt idx="56">
                  <c:v>573870</c:v>
                </c:pt>
                <c:pt idx="57">
                  <c:v>543590</c:v>
                </c:pt>
                <c:pt idx="63">
                  <c:v>507490</c:v>
                </c:pt>
                <c:pt idx="64">
                  <c:v>543290</c:v>
                </c:pt>
                <c:pt idx="70">
                  <c:v>466800</c:v>
                </c:pt>
                <c:pt idx="71">
                  <c:v>586850</c:v>
                </c:pt>
                <c:pt idx="77">
                  <c:v>569450</c:v>
                </c:pt>
                <c:pt idx="78">
                  <c:v>512050</c:v>
                </c:pt>
                <c:pt idx="84">
                  <c:v>454190</c:v>
                </c:pt>
                <c:pt idx="85">
                  <c:v>606680</c:v>
                </c:pt>
                <c:pt idx="91">
                  <c:v>377970</c:v>
                </c:pt>
                <c:pt idx="92">
                  <c:v>498390</c:v>
                </c:pt>
              </c:numCache>
            </c:numRef>
          </c:val>
        </c:ser>
        <c:gapWidth val="30"/>
        <c:overlap val="100"/>
        <c:axId val="76562719"/>
        <c:axId val="10023584"/>
      </c:barChart>
      <c:catAx>
        <c:axId val="76562719"/>
        <c:scaling>
          <c:orientation val="minMax"/>
        </c:scaling>
        <c:delete val="0"/>
        <c:axPos val="b"/>
        <c:numFmt formatCode="m/d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023584"/>
        <c:crosses val="autoZero"/>
        <c:auto val="1"/>
        <c:lblAlgn val="ctr"/>
        <c:lblOffset val="100"/>
        <c:noMultiLvlLbl val="0"/>
      </c:catAx>
      <c:valAx>
        <c:axId val="10023584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3e2de"/>
              </a:solidFill>
              <a:round/>
            </a:ln>
          </c:spPr>
        </c:majorGridlines>
        <c:numFmt formatCode="#,##0,\千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562719"/>
        <c:crosses val="autoZero"/>
        <c:crossBetween val="between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④ 1日平均売上の推移・月別（円）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"平日 1日平均"</c:f>
              <c:strCache>
                <c:ptCount val="1"/>
                <c:pt idx="0">
                  <c:v>平日 1日平均</c:v>
                </c:pt>
              </c:strCache>
            </c:strRef>
          </c:tx>
          <c:spPr>
            <a:solidFill>
              <a:srgbClr val="2a78d6"/>
            </a:solidFill>
            <a:ln w="28440">
              <a:solidFill>
                <a:srgbClr val="2a78d6"/>
              </a:solidFill>
              <a:round/>
            </a:ln>
          </c:spPr>
          <c:marker>
            <c:symbol val="circle"/>
            <c:size val="8"/>
            <c:spPr>
              <a:solidFill>
                <a:srgbClr val="2a78d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月別集計!$A$4:$A$8</c:f>
              <c:strCache>
                <c:ptCount val="5"/>
                <c:pt idx="0">
                  <c:v>6月</c:v>
                </c:pt>
                <c:pt idx="1">
                  <c:v>7月</c:v>
                </c:pt>
                <c:pt idx="2">
                  <c:v>8月</c:v>
                </c:pt>
                <c:pt idx="3">
                  <c:v>9月</c:v>
                </c:pt>
                <c:pt idx="4">
                  <c:v>10月</c:v>
                </c:pt>
              </c:strCache>
            </c:strRef>
          </c:cat>
          <c:val>
            <c:numRef>
              <c:f>月別集計!$D$4:$D$8</c:f>
              <c:numCache>
                <c:formatCode>#,##0</c:formatCode>
                <c:ptCount val="5"/>
                <c:pt idx="0">
                  <c:v>380992.857142857</c:v>
                </c:pt>
                <c:pt idx="1">
                  <c:v>421276.842105263</c:v>
                </c:pt>
                <c:pt idx="2">
                  <c:v>336752.727272727</c:v>
                </c:pt>
                <c:pt idx="3">
                  <c:v>279522.272727273</c:v>
                </c:pt>
                <c:pt idx="4">
                  <c:v>230350.909090909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"土日 1日平均"</c:f>
              <c:strCache>
                <c:ptCount val="1"/>
                <c:pt idx="0">
                  <c:v>土日 1日平均</c:v>
                </c:pt>
              </c:strCache>
            </c:strRef>
          </c:tx>
          <c:spPr>
            <a:solidFill>
              <a:srgbClr val="eb6834"/>
            </a:solidFill>
            <a:ln w="28440">
              <a:solidFill>
                <a:srgbClr val="eb6834"/>
              </a:solidFill>
              <a:round/>
            </a:ln>
          </c:spPr>
          <c:marker>
            <c:symbol val="diamond"/>
            <c:size val="8"/>
            <c:spPr>
              <a:solidFill>
                <a:srgbClr val="eb683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月別集計!$A$4:$A$8</c:f>
              <c:strCache>
                <c:ptCount val="5"/>
                <c:pt idx="0">
                  <c:v>6月</c:v>
                </c:pt>
                <c:pt idx="1">
                  <c:v>7月</c:v>
                </c:pt>
                <c:pt idx="2">
                  <c:v>8月</c:v>
                </c:pt>
                <c:pt idx="3">
                  <c:v>9月</c:v>
                </c:pt>
                <c:pt idx="4">
                  <c:v>10月</c:v>
                </c:pt>
              </c:strCache>
            </c:strRef>
          </c:cat>
          <c:val>
            <c:numRef>
              <c:f>月別集計!$G$4:$G$8</c:f>
              <c:numCache>
                <c:formatCode>#,##0</c:formatCode>
                <c:ptCount val="5"/>
                <c:pt idx="0">
                  <c:v>686633.333333333</c:v>
                </c:pt>
                <c:pt idx="1">
                  <c:v>726590</c:v>
                </c:pt>
                <c:pt idx="2">
                  <c:v>602112.5</c:v>
                </c:pt>
                <c:pt idx="3">
                  <c:v>537923.75</c:v>
                </c:pt>
                <c:pt idx="4">
                  <c:v>484307.5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092702"/>
        <c:axId val="14756252"/>
      </c:lineChart>
      <c:catAx>
        <c:axId val="609270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756252"/>
        <c:crosses val="autoZero"/>
        <c:auto val="1"/>
        <c:lblAlgn val="ctr"/>
        <c:lblOffset val="100"/>
        <c:noMultiLvlLbl val="0"/>
      </c:catAx>
      <c:valAx>
        <c:axId val="14756252"/>
        <c:scaling>
          <c:orientation val="minMax"/>
          <c:max val="800000"/>
          <c:min val="0"/>
        </c:scaling>
        <c:delete val="0"/>
        <c:axPos val="l"/>
        <c:majorGridlines>
          <c:spPr>
            <a:ln w="9360">
              <a:solidFill>
                <a:srgbClr val="e3e2de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92702"/>
        <c:crosses val="autoZero"/>
        <c:crossBetween val="between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⑤ 1日平均売上の推移・週別（円）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週別データ!C1</c:f>
              <c:strCache>
                <c:ptCount val="1"/>
                <c:pt idx="0">
                  <c:v>平日 1日平均</c:v>
                </c:pt>
              </c:strCache>
            </c:strRef>
          </c:tx>
          <c:spPr>
            <a:solidFill>
              <a:srgbClr val="2a78d6"/>
            </a:solidFill>
            <a:ln w="28440">
              <a:solidFill>
                <a:srgbClr val="2a78d6"/>
              </a:solidFill>
              <a:round/>
            </a:ln>
          </c:spPr>
          <c:marker>
            <c:symbol val="circle"/>
            <c:size val="8"/>
            <c:spPr>
              <a:solidFill>
                <a:srgbClr val="2a78d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週別データ!$E$2:$E$14</c:f>
              <c:strCache>
                <c:ptCount val="13"/>
                <c:pt idx="0">
                  <c:v>6/22週</c:v>
                </c:pt>
                <c:pt idx="1">
                  <c:v>6/29週</c:v>
                </c:pt>
                <c:pt idx="2">
                  <c:v>7/6週</c:v>
                </c:pt>
                <c:pt idx="3">
                  <c:v>7/13週</c:v>
                </c:pt>
                <c:pt idx="4">
                  <c:v>7/20週</c:v>
                </c:pt>
                <c:pt idx="5">
                  <c:v>7/27週</c:v>
                </c:pt>
                <c:pt idx="6">
                  <c:v>8/24週</c:v>
                </c:pt>
                <c:pt idx="7">
                  <c:v>8/31週</c:v>
                </c:pt>
                <c:pt idx="8">
                  <c:v>9/7週</c:v>
                </c:pt>
                <c:pt idx="9">
                  <c:v>9/14週</c:v>
                </c:pt>
                <c:pt idx="10">
                  <c:v>9/21週</c:v>
                </c:pt>
                <c:pt idx="11">
                  <c:v>9/28週</c:v>
                </c:pt>
                <c:pt idx="12">
                  <c:v>10/5週</c:v>
                </c:pt>
              </c:strCache>
            </c:strRef>
          </c:cat>
          <c:val>
            <c:numRef>
              <c:f>週別データ!$C$2:$C$14</c:f>
              <c:numCache>
                <c:formatCode>#,##0</c:formatCode>
                <c:ptCount val="13"/>
                <c:pt idx="0">
                  <c:v>405362</c:v>
                </c:pt>
                <c:pt idx="1">
                  <c:v>408516</c:v>
                </c:pt>
                <c:pt idx="2">
                  <c:v>380590</c:v>
                </c:pt>
                <c:pt idx="3">
                  <c:v>406870</c:v>
                </c:pt>
                <c:pt idx="4">
                  <c:v>597070</c:v>
                </c:pt>
                <c:pt idx="5">
                  <c:v>413490</c:v>
                </c:pt>
                <c:pt idx="6">
                  <c:v>307740</c:v>
                </c:pt>
                <c:pt idx="7">
                  <c:v>227806</c:v>
                </c:pt>
                <c:pt idx="8">
                  <c:v>274202</c:v>
                </c:pt>
                <c:pt idx="9">
                  <c:v>262542</c:v>
                </c:pt>
                <c:pt idx="10">
                  <c:v>392448</c:v>
                </c:pt>
                <c:pt idx="11">
                  <c:v>200048</c:v>
                </c:pt>
                <c:pt idx="12">
                  <c:v>230212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週別データ!D1</c:f>
              <c:strCache>
                <c:ptCount val="1"/>
                <c:pt idx="0">
                  <c:v>土日 1日平均</c:v>
                </c:pt>
              </c:strCache>
            </c:strRef>
          </c:tx>
          <c:spPr>
            <a:solidFill>
              <a:srgbClr val="eb6834"/>
            </a:solidFill>
            <a:ln w="28440">
              <a:solidFill>
                <a:srgbClr val="eb6834"/>
              </a:solidFill>
              <a:round/>
            </a:ln>
          </c:spPr>
          <c:marker>
            <c:symbol val="diamond"/>
            <c:size val="8"/>
            <c:spPr>
              <a:solidFill>
                <a:srgbClr val="eb683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週別データ!$E$2:$E$14</c:f>
              <c:strCache>
                <c:ptCount val="13"/>
                <c:pt idx="0">
                  <c:v>6/22週</c:v>
                </c:pt>
                <c:pt idx="1">
                  <c:v>6/29週</c:v>
                </c:pt>
                <c:pt idx="2">
                  <c:v>7/6週</c:v>
                </c:pt>
                <c:pt idx="3">
                  <c:v>7/13週</c:v>
                </c:pt>
                <c:pt idx="4">
                  <c:v>7/20週</c:v>
                </c:pt>
                <c:pt idx="5">
                  <c:v>7/27週</c:v>
                </c:pt>
                <c:pt idx="6">
                  <c:v>8/24週</c:v>
                </c:pt>
                <c:pt idx="7">
                  <c:v>8/31週</c:v>
                </c:pt>
                <c:pt idx="8">
                  <c:v>9/7週</c:v>
                </c:pt>
                <c:pt idx="9">
                  <c:v>9/14週</c:v>
                </c:pt>
                <c:pt idx="10">
                  <c:v>9/21週</c:v>
                </c:pt>
                <c:pt idx="11">
                  <c:v>9/28週</c:v>
                </c:pt>
                <c:pt idx="12">
                  <c:v>10/5週</c:v>
                </c:pt>
              </c:strCache>
            </c:strRef>
          </c:cat>
          <c:val>
            <c:numRef>
              <c:f>週別データ!$D$2:$D$14</c:f>
              <c:numCache>
                <c:formatCode>#,##0</c:formatCode>
                <c:ptCount val="13"/>
                <c:pt idx="0">
                  <c:v>711765</c:v>
                </c:pt>
                <c:pt idx="1">
                  <c:v>775545</c:v>
                </c:pt>
                <c:pt idx="2">
                  <c:v>779975</c:v>
                </c:pt>
                <c:pt idx="3">
                  <c:v>695245</c:v>
                </c:pt>
                <c:pt idx="4">
                  <c:v>655595</c:v>
                </c:pt>
                <c:pt idx="5">
                  <c:v>688185</c:v>
                </c:pt>
                <c:pt idx="6">
                  <c:v>516040</c:v>
                </c:pt>
                <c:pt idx="7">
                  <c:v>558730</c:v>
                </c:pt>
                <c:pt idx="8">
                  <c:v>525390</c:v>
                </c:pt>
                <c:pt idx="9">
                  <c:v>526825</c:v>
                </c:pt>
                <c:pt idx="10">
                  <c:v>540750</c:v>
                </c:pt>
                <c:pt idx="11">
                  <c:v>530435</c:v>
                </c:pt>
                <c:pt idx="12">
                  <c:v>438180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87479"/>
        <c:axId val="83831011"/>
      </c:lineChart>
      <c:catAx>
        <c:axId val="287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831011"/>
        <c:crosses val="autoZero"/>
        <c:auto val="1"/>
        <c:lblAlgn val="ctr"/>
        <c:lblOffset val="100"/>
        <c:noMultiLvlLbl val="0"/>
      </c:catAx>
      <c:valAx>
        <c:axId val="83831011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3e2de"/>
              </a:solidFill>
              <a:round/>
            </a:ln>
          </c:spPr>
        </c:majorGridlines>
        <c:numFmt formatCode="#,##0,\千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7479"/>
        <c:crosses val="autoZero"/>
        <c:crossBetween val="between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160920</xdr:rowOff>
    </xdr:from>
    <xdr:to>
      <xdr:col>10</xdr:col>
      <xdr:colOff>364680</xdr:colOff>
      <xdr:row>19</xdr:row>
      <xdr:rowOff>162000</xdr:rowOff>
    </xdr:to>
    <xdr:graphicFrame>
      <xdr:nvGraphicFramePr>
        <xdr:cNvPr id="0" name="Chart 1"/>
        <xdr:cNvGraphicFramePr/>
      </xdr:nvGraphicFramePr>
      <xdr:xfrm>
        <a:off x="0" y="571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21</xdr:row>
      <xdr:rowOff>160920</xdr:rowOff>
    </xdr:from>
    <xdr:to>
      <xdr:col>10</xdr:col>
      <xdr:colOff>364680</xdr:colOff>
      <xdr:row>38</xdr:row>
      <xdr:rowOff>172800</xdr:rowOff>
    </xdr:to>
    <xdr:graphicFrame>
      <xdr:nvGraphicFramePr>
        <xdr:cNvPr id="1" name="Chart 2"/>
        <xdr:cNvGraphicFramePr/>
      </xdr:nvGraphicFramePr>
      <xdr:xfrm>
        <a:off x="0" y="419112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40</xdr:row>
      <xdr:rowOff>171360</xdr:rowOff>
    </xdr:from>
    <xdr:to>
      <xdr:col>17</xdr:col>
      <xdr:colOff>403920</xdr:colOff>
      <xdr:row>59</xdr:row>
      <xdr:rowOff>162360</xdr:rowOff>
    </xdr:to>
    <xdr:graphicFrame>
      <xdr:nvGraphicFramePr>
        <xdr:cNvPr id="2" name="Chart 3"/>
        <xdr:cNvGraphicFramePr/>
      </xdr:nvGraphicFramePr>
      <xdr:xfrm>
        <a:off x="0" y="7810560"/>
        <a:ext cx="107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64</xdr:row>
      <xdr:rowOff>2520</xdr:rowOff>
    </xdr:from>
    <xdr:to>
      <xdr:col>10</xdr:col>
      <xdr:colOff>364680</xdr:colOff>
      <xdr:row>81</xdr:row>
      <xdr:rowOff>3960</xdr:rowOff>
    </xdr:to>
    <xdr:graphicFrame>
      <xdr:nvGraphicFramePr>
        <xdr:cNvPr id="3" name="Chart 4"/>
        <xdr:cNvGraphicFramePr/>
      </xdr:nvGraphicFramePr>
      <xdr:xfrm>
        <a:off x="0" y="1219212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84</xdr:row>
      <xdr:rowOff>13320</xdr:rowOff>
    </xdr:from>
    <xdr:to>
      <xdr:col>17</xdr:col>
      <xdr:colOff>403920</xdr:colOff>
      <xdr:row>102</xdr:row>
      <xdr:rowOff>183960</xdr:rowOff>
    </xdr:to>
    <xdr:graphicFrame>
      <xdr:nvGraphicFramePr>
        <xdr:cNvPr id="4" name="Chart 5"/>
        <xdr:cNvGraphicFramePr/>
      </xdr:nvGraphicFramePr>
      <xdr:xfrm>
        <a:off x="0" y="16002000"/>
        <a:ext cx="107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5"/>
    <col collapsed="false" customWidth="true" hidden="false" outlineLevel="0" max="7" min="7" style="0" width="14"/>
    <col collapsed="false" customWidth="true" hidden="false" outlineLevel="0" max="8" min="8" style="0" width="15"/>
    <col collapsed="false" customWidth="true" hidden="false" outlineLevel="0" max="9" min="9" style="0" width="10"/>
  </cols>
  <sheetData>
    <row r="1" customFormat="false" ht="19.4" hidden="false" customHeight="fals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  <c r="B3" s="3" t="s">
        <v>2</v>
      </c>
      <c r="C3" s="3" t="s">
        <v>3</v>
      </c>
      <c r="D3" s="3" t="s">
        <v>4</v>
      </c>
      <c r="E3" s="4" t="s">
        <v>5</v>
      </c>
      <c r="F3" s="4" t="s">
        <v>6</v>
      </c>
      <c r="G3" s="4" t="s">
        <v>7</v>
      </c>
      <c r="H3" s="2" t="s">
        <v>8</v>
      </c>
      <c r="I3" s="4" t="s">
        <v>9</v>
      </c>
    </row>
    <row r="4" customFormat="false" ht="15" hidden="false" customHeight="false" outlineLevel="0" collapsed="false">
      <c r="A4" s="5" t="s">
        <v>10</v>
      </c>
      <c r="B4" s="6" t="n">
        <f aca="false">COUNTIFS(平日!$A$2:$A$71,"&gt;="&amp;DATE(2026,6,1),平日!$A$2:$A$71,"&lt;"&amp;DATE(2026,7,1))</f>
        <v>7</v>
      </c>
      <c r="C4" s="7" t="n">
        <f aca="false">SUMIFS(平日!$C$2:$C$71,平日!$A$2:$A$71,"&gt;="&amp;DATE(2026,6,1),平日!$A$2:$A$71,"&lt;"&amp;DATE(2026,7,1))</f>
        <v>2666950</v>
      </c>
      <c r="D4" s="7" t="n">
        <f aca="false">IF(B4=0,0,C4/B4)</f>
        <v>380992.857142857</v>
      </c>
      <c r="E4" s="6" t="n">
        <f aca="false">COUNTIFS(土日!$A$2:$A$28,"&gt;="&amp;DATE(2026,6,1),土日!$A$2:$A$28,"&lt;"&amp;DATE(2026,7,1))</f>
        <v>3</v>
      </c>
      <c r="F4" s="7" t="n">
        <f aca="false">SUMIFS(土日!$C$2:$C$28,土日!$A$2:$A$28,"&gt;="&amp;DATE(2026,6,1),土日!$A$2:$A$28,"&lt;"&amp;DATE(2026,7,1))</f>
        <v>2059900</v>
      </c>
      <c r="G4" s="7" t="n">
        <f aca="false">IF(E4=0,0,F4/E4)</f>
        <v>686633.333333333</v>
      </c>
      <c r="H4" s="7" t="n">
        <f aca="false">C4+F4</f>
        <v>4726850</v>
      </c>
      <c r="I4" s="8" t="n">
        <f aca="false">IF(H4=0,0,F4/H4)</f>
        <v>0.435787046341644</v>
      </c>
    </row>
    <row r="5" customFormat="false" ht="15" hidden="false" customHeight="false" outlineLevel="0" collapsed="false">
      <c r="A5" s="5" t="s">
        <v>11</v>
      </c>
      <c r="B5" s="6" t="n">
        <f aca="false">COUNTIFS(平日!$A$2:$A$71,"&gt;="&amp;DATE(2026,7,1),平日!$A$2:$A$71,"&lt;"&amp;DATE(2026,8,1))</f>
        <v>19</v>
      </c>
      <c r="C5" s="7" t="n">
        <f aca="false">SUMIFS(平日!$C$2:$C$71,平日!$A$2:$A$71,"&gt;="&amp;DATE(2026,7,1),平日!$A$2:$A$71,"&lt;"&amp;DATE(2026,8,1))</f>
        <v>8004260</v>
      </c>
      <c r="D5" s="7" t="n">
        <f aca="false">IF(B5=0,0,C5/B5)</f>
        <v>421276.842105263</v>
      </c>
      <c r="E5" s="6" t="n">
        <f aca="false">COUNTIFS(土日!$A$2:$A$28,"&gt;="&amp;DATE(2026,7,1),土日!$A$2:$A$28,"&lt;"&amp;DATE(2026,8,1))</f>
        <v>8</v>
      </c>
      <c r="F5" s="7" t="n">
        <f aca="false">SUMIFS(土日!$C$2:$C$28,土日!$A$2:$A$28,"&gt;="&amp;DATE(2026,7,1),土日!$A$2:$A$28,"&lt;"&amp;DATE(2026,8,1))</f>
        <v>5812720</v>
      </c>
      <c r="G5" s="7" t="n">
        <f aca="false">IF(E5=0,0,F5/E5)</f>
        <v>726590</v>
      </c>
      <c r="H5" s="7" t="n">
        <f aca="false">C5+F5</f>
        <v>13816980</v>
      </c>
      <c r="I5" s="8" t="n">
        <f aca="false">IF(H5=0,0,F5/H5)</f>
        <v>0.420693957724481</v>
      </c>
    </row>
    <row r="6" customFormat="false" ht="15" hidden="false" customHeight="false" outlineLevel="0" collapsed="false">
      <c r="A6" s="5" t="s">
        <v>12</v>
      </c>
      <c r="B6" s="6" t="n">
        <f aca="false">COUNTIFS(平日!$A$2:$A$71,"&gt;="&amp;DATE(2026,8,1),平日!$A$2:$A$71,"&lt;"&amp;DATE(2026,9,1))</f>
        <v>11</v>
      </c>
      <c r="C6" s="7" t="n">
        <f aca="false">SUMIFS(平日!$C$2:$C$71,平日!$A$2:$A$71,"&gt;="&amp;DATE(2026,8,1),平日!$A$2:$A$71,"&lt;"&amp;DATE(2026,9,1))</f>
        <v>3704280</v>
      </c>
      <c r="D6" s="7" t="n">
        <f aca="false">IF(B6=0,0,C6/B6)</f>
        <v>336752.727272727</v>
      </c>
      <c r="E6" s="6" t="n">
        <f aca="false">COUNTIFS(土日!$A$2:$A$28,"&gt;="&amp;DATE(2026,8,1),土日!$A$2:$A$28,"&lt;"&amp;DATE(2026,9,1))</f>
        <v>4</v>
      </c>
      <c r="F6" s="7" t="n">
        <f aca="false">SUMIFS(土日!$C$2:$C$28,土日!$A$2:$A$28,"&gt;="&amp;DATE(2026,8,1),土日!$A$2:$A$28,"&lt;"&amp;DATE(2026,9,1))</f>
        <v>2408450</v>
      </c>
      <c r="G6" s="7" t="n">
        <f aca="false">IF(E6=0,0,F6/E6)</f>
        <v>602112.5</v>
      </c>
      <c r="H6" s="7" t="n">
        <f aca="false">C6+F6</f>
        <v>6112730</v>
      </c>
      <c r="I6" s="8" t="n">
        <f aca="false">IF(H6=0,0,F6/H6)</f>
        <v>0.394005624328246</v>
      </c>
    </row>
    <row r="7" customFormat="false" ht="15" hidden="false" customHeight="false" outlineLevel="0" collapsed="false">
      <c r="A7" s="5" t="s">
        <v>13</v>
      </c>
      <c r="B7" s="6" t="n">
        <f aca="false">COUNTIFS(平日!$A$2:$A$71,"&gt;="&amp;DATE(2026,9,1),平日!$A$2:$A$71,"&lt;"&amp;DATE(2026,10,1))</f>
        <v>22</v>
      </c>
      <c r="C7" s="7" t="n">
        <f aca="false">SUMIFS(平日!$C$2:$C$71,平日!$A$2:$A$71,"&gt;="&amp;DATE(2026,9,1),平日!$A$2:$A$71,"&lt;"&amp;DATE(2026,10,1))</f>
        <v>6149490</v>
      </c>
      <c r="D7" s="7" t="n">
        <f aca="false">IF(B7=0,0,C7/B7)</f>
        <v>279522.272727273</v>
      </c>
      <c r="E7" s="6" t="n">
        <f aca="false">COUNTIFS(土日!$A$2:$A$28,"&gt;="&amp;DATE(2026,9,1),土日!$A$2:$A$28,"&lt;"&amp;DATE(2026,10,1))</f>
        <v>8</v>
      </c>
      <c r="F7" s="7" t="n">
        <f aca="false">SUMIFS(土日!$C$2:$C$28,土日!$A$2:$A$28,"&gt;="&amp;DATE(2026,9,1),土日!$A$2:$A$28,"&lt;"&amp;DATE(2026,10,1))</f>
        <v>4303390</v>
      </c>
      <c r="G7" s="7" t="n">
        <f aca="false">IF(E7=0,0,F7/E7)</f>
        <v>537923.75</v>
      </c>
      <c r="H7" s="7" t="n">
        <f aca="false">C7+F7</f>
        <v>10452880</v>
      </c>
      <c r="I7" s="8" t="n">
        <f aca="false">IF(H7=0,0,F7/H7)</f>
        <v>0.411694193370631</v>
      </c>
    </row>
    <row r="8" customFormat="false" ht="15" hidden="false" customHeight="false" outlineLevel="0" collapsed="false">
      <c r="A8" s="5" t="s">
        <v>14</v>
      </c>
      <c r="B8" s="6" t="n">
        <f aca="false">COUNTIFS(平日!$A$2:$A$71,"&gt;="&amp;DATE(2026,10,1),平日!$A$2:$A$71,"&lt;"&amp;DATE(2026,11,1))</f>
        <v>11</v>
      </c>
      <c r="C8" s="7" t="n">
        <f aca="false">SUMIFS(平日!$C$2:$C$71,平日!$A$2:$A$71,"&gt;="&amp;DATE(2026,10,1),平日!$A$2:$A$71,"&lt;"&amp;DATE(2026,11,1))</f>
        <v>2533860</v>
      </c>
      <c r="D8" s="7" t="n">
        <f aca="false">IF(B8=0,0,C8/B8)</f>
        <v>230350.909090909</v>
      </c>
      <c r="E8" s="6" t="n">
        <f aca="false">COUNTIFS(土日!$A$2:$A$28,"&gt;="&amp;DATE(2026,10,1),土日!$A$2:$A$28,"&lt;"&amp;DATE(2026,11,1))</f>
        <v>4</v>
      </c>
      <c r="F8" s="7" t="n">
        <f aca="false">SUMIFS(土日!$C$2:$C$28,土日!$A$2:$A$28,"&gt;="&amp;DATE(2026,10,1),土日!$A$2:$A$28,"&lt;"&amp;DATE(2026,11,1))</f>
        <v>1937230</v>
      </c>
      <c r="G8" s="7" t="n">
        <f aca="false">IF(E8=0,0,F8/E8)</f>
        <v>484307.5</v>
      </c>
      <c r="H8" s="7" t="n">
        <f aca="false">C8+F8</f>
        <v>4471090</v>
      </c>
      <c r="I8" s="8" t="n">
        <f aca="false">IF(H8=0,0,F8/H8)</f>
        <v>0.433279133276226</v>
      </c>
    </row>
    <row r="9" customFormat="false" ht="15" hidden="false" customHeight="false" outlineLevel="0" collapsed="false">
      <c r="A9" s="9" t="s">
        <v>15</v>
      </c>
      <c r="B9" s="10" t="n">
        <f aca="false">SUM(B4:B8)</f>
        <v>70</v>
      </c>
      <c r="C9" s="11" t="n">
        <f aca="false">SUM(C4:C8)</f>
        <v>23058840</v>
      </c>
      <c r="D9" s="11" t="n">
        <f aca="false">IF(B9=0,0,C9/B9)</f>
        <v>329412</v>
      </c>
      <c r="E9" s="10" t="n">
        <f aca="false">SUM(E4:E8)</f>
        <v>27</v>
      </c>
      <c r="F9" s="11" t="n">
        <f aca="false">SUM(F4:F8)</f>
        <v>16521690</v>
      </c>
      <c r="G9" s="11" t="n">
        <f aca="false">IF(E9=0,0,F9/E9)</f>
        <v>611914.444444445</v>
      </c>
      <c r="H9" s="11" t="n">
        <f aca="false">SUM(H4:H8)</f>
        <v>39580530</v>
      </c>
      <c r="I9" s="12" t="n">
        <f aca="false">IF(H9=0,0,F9/H9)</f>
        <v>0.417419625255144</v>
      </c>
    </row>
    <row r="10" customFormat="false" ht="15" hidden="false" customHeight="false" outlineLevel="0" collapsed="false">
      <c r="C10" s="13" t="s">
        <v>16</v>
      </c>
      <c r="D10" s="14" t="n">
        <f aca="false">IF(G9=0,0,G9/D9)</f>
        <v>1.85759609378057</v>
      </c>
    </row>
    <row r="12" customFormat="false" ht="15" hidden="false" customHeight="false" outlineLevel="0" collapsed="false">
      <c r="A12" s="15" t="s">
        <v>17</v>
      </c>
    </row>
    <row r="13" customFormat="false" ht="15" hidden="false" customHeight="false" outlineLevel="0" collapsed="false">
      <c r="A13" s="16" t="s">
        <v>18</v>
      </c>
    </row>
    <row r="14" customFormat="false" ht="15" hidden="false" customHeight="false" outlineLevel="0" collapsed="false">
      <c r="A14" s="16" t="s">
        <v>19</v>
      </c>
    </row>
    <row r="15" customFormat="false" ht="15" hidden="false" customHeight="false" outlineLevel="0" collapsed="false">
      <c r="A15" s="16" t="s">
        <v>20</v>
      </c>
    </row>
    <row r="16" customFormat="false" ht="15" hidden="false" customHeight="false" outlineLevel="0" collapsed="false">
      <c r="A16" s="16" t="s">
        <v>21</v>
      </c>
    </row>
    <row r="17" customFormat="false" ht="15" hidden="false" customHeight="false" outlineLevel="0" collapsed="false">
      <c r="A17" s="16" t="s">
        <v>22</v>
      </c>
    </row>
    <row r="18" customFormat="false" ht="15" hidden="false" customHeight="false" outlineLevel="0" collapsed="false">
      <c r="A18" s="16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1" t="s">
        <v>24</v>
      </c>
    </row>
    <row r="2" customFormat="false" ht="15" hidden="false" customHeight="false" outlineLevel="0" collapsed="false">
      <c r="A2" s="17" t="s">
        <v>25</v>
      </c>
    </row>
    <row r="22" customFormat="false" ht="14.15" hidden="false" customHeight="false" outlineLevel="0" collapsed="false">
      <c r="A22" s="17" t="s">
        <v>26</v>
      </c>
    </row>
    <row r="41" customFormat="false" ht="14.15" hidden="false" customHeight="false" outlineLevel="0" collapsed="false">
      <c r="A41" s="18" t="s">
        <v>27</v>
      </c>
    </row>
    <row r="63" customFormat="false" ht="14.15" hidden="false" customHeight="false" outlineLevel="0" collapsed="false">
      <c r="A63" s="17" t="s">
        <v>28</v>
      </c>
    </row>
    <row r="83" customFormat="false" ht="14.15" hidden="false" customHeight="false" outlineLevel="0" collapsed="false">
      <c r="A83" s="17" t="s">
        <v>29</v>
      </c>
    </row>
    <row r="106" customFormat="false" ht="14.15" hidden="false" customHeight="false" outlineLevel="0" collapsed="false">
      <c r="A106" s="17" t="s">
        <v>30</v>
      </c>
    </row>
    <row r="107" customFormat="false" ht="14.15" hidden="false" customHeight="false" outlineLevel="0" collapsed="false">
      <c r="A107" s="18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28"/>
  </cols>
  <sheetData>
    <row r="1" customFormat="false" ht="15" hidden="false" customHeight="false" outlineLevel="0" collapsed="false">
      <c r="A1" s="19" t="s">
        <v>32</v>
      </c>
      <c r="B1" s="19" t="s">
        <v>33</v>
      </c>
      <c r="C1" s="19" t="s">
        <v>34</v>
      </c>
      <c r="D1" s="19" t="s">
        <v>35</v>
      </c>
      <c r="E1" s="19" t="s">
        <v>36</v>
      </c>
      <c r="F1" s="19" t="s">
        <v>37</v>
      </c>
    </row>
    <row r="2" customFormat="false" ht="15" hidden="false" customHeight="false" outlineLevel="0" collapsed="false">
      <c r="A2" s="20" t="n">
        <v>46195</v>
      </c>
      <c r="B2" s="21" t="str">
        <f aca="false">MID("日月火水木金土",WEEKDAY(A2),1)</f>
        <v>月</v>
      </c>
      <c r="C2" s="22" t="n">
        <v>386840</v>
      </c>
      <c r="D2" s="23" t="s">
        <v>38</v>
      </c>
      <c r="E2" s="5"/>
      <c r="F2" s="5"/>
    </row>
    <row r="3" customFormat="false" ht="15" hidden="false" customHeight="false" outlineLevel="0" collapsed="false">
      <c r="A3" s="20" t="n">
        <v>46196</v>
      </c>
      <c r="B3" s="21" t="str">
        <f aca="false">MID("日月火水木金土",WEEKDAY(A3),1)</f>
        <v>火</v>
      </c>
      <c r="C3" s="22" t="n">
        <v>377840</v>
      </c>
      <c r="D3" s="23" t="s">
        <v>38</v>
      </c>
      <c r="E3" s="5"/>
      <c r="F3" s="5"/>
    </row>
    <row r="4" customFormat="false" ht="15" hidden="false" customHeight="false" outlineLevel="0" collapsed="false">
      <c r="A4" s="20" t="n">
        <v>46197</v>
      </c>
      <c r="B4" s="21" t="str">
        <f aca="false">MID("日月火水木金土",WEEKDAY(A4),1)</f>
        <v>水</v>
      </c>
      <c r="C4" s="22" t="n">
        <v>428620</v>
      </c>
      <c r="D4" s="23" t="s">
        <v>38</v>
      </c>
      <c r="E4" s="5"/>
      <c r="F4" s="5"/>
    </row>
    <row r="5" customFormat="false" ht="15" hidden="false" customHeight="false" outlineLevel="0" collapsed="false">
      <c r="A5" s="20" t="n">
        <v>46198</v>
      </c>
      <c r="B5" s="21" t="str">
        <f aca="false">MID("日月火水木金土",WEEKDAY(A5),1)</f>
        <v>木</v>
      </c>
      <c r="C5" s="22" t="n">
        <v>374210</v>
      </c>
      <c r="D5" s="23" t="s">
        <v>39</v>
      </c>
      <c r="E5" s="5"/>
      <c r="F5" s="5"/>
    </row>
    <row r="6" customFormat="false" ht="15" hidden="false" customHeight="false" outlineLevel="0" collapsed="false">
      <c r="A6" s="20" t="n">
        <v>46199</v>
      </c>
      <c r="B6" s="21" t="str">
        <f aca="false">MID("日月火水木金土",WEEKDAY(A6),1)</f>
        <v>金</v>
      </c>
      <c r="C6" s="22" t="n">
        <v>459300</v>
      </c>
      <c r="D6" s="23" t="s">
        <v>39</v>
      </c>
      <c r="E6" s="5"/>
      <c r="F6" s="5"/>
    </row>
    <row r="7" customFormat="false" ht="15" hidden="false" customHeight="false" outlineLevel="0" collapsed="false">
      <c r="A7" s="20" t="n">
        <v>46202</v>
      </c>
      <c r="B7" s="21" t="str">
        <f aca="false">MID("日月火水木金土",WEEKDAY(A7),1)</f>
        <v>月</v>
      </c>
      <c r="C7" s="22" t="n">
        <v>335720</v>
      </c>
      <c r="D7" s="23" t="s">
        <v>39</v>
      </c>
      <c r="E7" s="5"/>
      <c r="F7" s="5"/>
    </row>
    <row r="8" customFormat="false" ht="15" hidden="false" customHeight="false" outlineLevel="0" collapsed="false">
      <c r="A8" s="20" t="n">
        <v>46203</v>
      </c>
      <c r="B8" s="21" t="str">
        <f aca="false">MID("日月火水木金土",WEEKDAY(A8),1)</f>
        <v>火</v>
      </c>
      <c r="C8" s="22" t="n">
        <v>304420</v>
      </c>
      <c r="D8" s="23" t="s">
        <v>40</v>
      </c>
      <c r="E8" s="5"/>
      <c r="F8" s="5"/>
    </row>
    <row r="9" customFormat="false" ht="15" hidden="false" customHeight="false" outlineLevel="0" collapsed="false">
      <c r="A9" s="20" t="n">
        <v>46204</v>
      </c>
      <c r="B9" s="21" t="str">
        <f aca="false">MID("日月火水木金土",WEEKDAY(A9),1)</f>
        <v>水</v>
      </c>
      <c r="C9" s="22" t="n">
        <v>454040</v>
      </c>
      <c r="D9" s="23" t="s">
        <v>38</v>
      </c>
      <c r="E9" s="5"/>
      <c r="F9" s="5"/>
    </row>
    <row r="10" customFormat="false" ht="15" hidden="false" customHeight="false" outlineLevel="0" collapsed="false">
      <c r="A10" s="20" t="n">
        <v>46205</v>
      </c>
      <c r="B10" s="21" t="str">
        <f aca="false">MID("日月火水木金土",WEEKDAY(A10),1)</f>
        <v>木</v>
      </c>
      <c r="C10" s="22" t="n">
        <v>421760</v>
      </c>
      <c r="D10" s="23" t="s">
        <v>40</v>
      </c>
      <c r="E10" s="5"/>
      <c r="F10" s="5"/>
    </row>
    <row r="11" customFormat="false" ht="15" hidden="false" customHeight="false" outlineLevel="0" collapsed="false">
      <c r="A11" s="20" t="n">
        <v>46206</v>
      </c>
      <c r="B11" s="21" t="str">
        <f aca="false">MID("日月火水木金土",WEEKDAY(A11),1)</f>
        <v>金</v>
      </c>
      <c r="C11" s="22" t="n">
        <v>526640</v>
      </c>
      <c r="D11" s="23" t="s">
        <v>39</v>
      </c>
      <c r="E11" s="5"/>
      <c r="F11" s="5"/>
    </row>
    <row r="12" customFormat="false" ht="15" hidden="false" customHeight="false" outlineLevel="0" collapsed="false">
      <c r="A12" s="20" t="n">
        <v>46209</v>
      </c>
      <c r="B12" s="21" t="str">
        <f aca="false">MID("日月火水木金土",WEEKDAY(A12),1)</f>
        <v>月</v>
      </c>
      <c r="C12" s="22" t="n">
        <v>294280</v>
      </c>
      <c r="D12" s="23" t="s">
        <v>38</v>
      </c>
      <c r="E12" s="5"/>
      <c r="F12" s="5"/>
    </row>
    <row r="13" customFormat="false" ht="15" hidden="false" customHeight="false" outlineLevel="0" collapsed="false">
      <c r="A13" s="20" t="n">
        <v>46210</v>
      </c>
      <c r="B13" s="21" t="str">
        <f aca="false">MID("日月火水木金土",WEEKDAY(A13),1)</f>
        <v>火</v>
      </c>
      <c r="C13" s="22" t="n">
        <v>332760</v>
      </c>
      <c r="D13" s="23" t="s">
        <v>38</v>
      </c>
      <c r="E13" s="5"/>
      <c r="F13" s="5"/>
    </row>
    <row r="14" customFormat="false" ht="15" hidden="false" customHeight="false" outlineLevel="0" collapsed="false">
      <c r="A14" s="20" t="n">
        <v>46211</v>
      </c>
      <c r="B14" s="21" t="str">
        <f aca="false">MID("日月火水木金土",WEEKDAY(A14),1)</f>
        <v>水</v>
      </c>
      <c r="C14" s="22" t="n">
        <v>375800</v>
      </c>
      <c r="D14" s="23" t="s">
        <v>40</v>
      </c>
      <c r="E14" s="5"/>
      <c r="F14" s="5"/>
    </row>
    <row r="15" customFormat="false" ht="15" hidden="false" customHeight="false" outlineLevel="0" collapsed="false">
      <c r="A15" s="20" t="n">
        <v>46212</v>
      </c>
      <c r="B15" s="21" t="str">
        <f aca="false">MID("日月火水木金土",WEEKDAY(A15),1)</f>
        <v>木</v>
      </c>
      <c r="C15" s="22" t="n">
        <v>425290</v>
      </c>
      <c r="D15" s="23" t="s">
        <v>39</v>
      </c>
      <c r="E15" s="5"/>
      <c r="F15" s="5"/>
    </row>
    <row r="16" customFormat="false" ht="15" hidden="false" customHeight="false" outlineLevel="0" collapsed="false">
      <c r="A16" s="20" t="n">
        <v>46213</v>
      </c>
      <c r="B16" s="21" t="str">
        <f aca="false">MID("日月火水木金土",WEEKDAY(A16),1)</f>
        <v>金</v>
      </c>
      <c r="C16" s="22" t="n">
        <v>474820</v>
      </c>
      <c r="D16" s="23" t="s">
        <v>38</v>
      </c>
      <c r="E16" s="5"/>
      <c r="F16" s="5"/>
    </row>
    <row r="17" customFormat="false" ht="15" hidden="false" customHeight="false" outlineLevel="0" collapsed="false">
      <c r="A17" s="20" t="n">
        <v>46216</v>
      </c>
      <c r="B17" s="21" t="str">
        <f aca="false">MID("日月火水木金土",WEEKDAY(A17),1)</f>
        <v>月</v>
      </c>
      <c r="C17" s="22" t="n">
        <v>372650</v>
      </c>
      <c r="D17" s="23" t="s">
        <v>40</v>
      </c>
      <c r="E17" s="5"/>
      <c r="F17" s="5"/>
    </row>
    <row r="18" customFormat="false" ht="15" hidden="false" customHeight="false" outlineLevel="0" collapsed="false">
      <c r="A18" s="20" t="n">
        <v>46217</v>
      </c>
      <c r="B18" s="21" t="str">
        <f aca="false">MID("日月火水木金土",WEEKDAY(A18),1)</f>
        <v>火</v>
      </c>
      <c r="C18" s="22" t="n">
        <v>289840</v>
      </c>
      <c r="D18" s="23" t="s">
        <v>38</v>
      </c>
      <c r="E18" s="5"/>
      <c r="F18" s="5"/>
    </row>
    <row r="19" customFormat="false" ht="15" hidden="false" customHeight="false" outlineLevel="0" collapsed="false">
      <c r="A19" s="20" t="n">
        <v>46218</v>
      </c>
      <c r="B19" s="21" t="str">
        <f aca="false">MID("日月火水木金土",WEEKDAY(A19),1)</f>
        <v>水</v>
      </c>
      <c r="C19" s="22" t="n">
        <v>418780</v>
      </c>
      <c r="D19" s="23" t="s">
        <v>40</v>
      </c>
      <c r="E19" s="5"/>
      <c r="F19" s="5"/>
    </row>
    <row r="20" customFormat="false" ht="15" hidden="false" customHeight="false" outlineLevel="0" collapsed="false">
      <c r="A20" s="20" t="n">
        <v>46219</v>
      </c>
      <c r="B20" s="21" t="str">
        <f aca="false">MID("日月火水木金土",WEEKDAY(A20),1)</f>
        <v>木</v>
      </c>
      <c r="C20" s="22" t="n">
        <v>459900</v>
      </c>
      <c r="D20" s="23" t="s">
        <v>40</v>
      </c>
      <c r="E20" s="5"/>
      <c r="F20" s="5"/>
    </row>
    <row r="21" customFormat="false" ht="15" hidden="false" customHeight="false" outlineLevel="0" collapsed="false">
      <c r="A21" s="20" t="n">
        <v>46220</v>
      </c>
      <c r="B21" s="21" t="str">
        <f aca="false">MID("日月火水木金土",WEEKDAY(A21),1)</f>
        <v>金</v>
      </c>
      <c r="C21" s="22" t="n">
        <v>493180</v>
      </c>
      <c r="D21" s="23" t="s">
        <v>40</v>
      </c>
      <c r="E21" s="5"/>
      <c r="F21" s="5"/>
    </row>
    <row r="22" customFormat="false" ht="15" hidden="false" customHeight="false" outlineLevel="0" collapsed="false">
      <c r="A22" s="20" t="n">
        <v>46223</v>
      </c>
      <c r="B22" s="21" t="str">
        <f aca="false">MID("日月火水木金土",WEEKDAY(A22),1)</f>
        <v>月</v>
      </c>
      <c r="C22" s="22" t="n">
        <v>597070</v>
      </c>
      <c r="D22" s="23" t="s">
        <v>39</v>
      </c>
      <c r="E22" s="23" t="s">
        <v>41</v>
      </c>
      <c r="F22" s="5"/>
    </row>
    <row r="23" customFormat="false" ht="15" hidden="false" customHeight="false" outlineLevel="0" collapsed="false">
      <c r="A23" s="20" t="n">
        <v>46230</v>
      </c>
      <c r="B23" s="21" t="str">
        <f aca="false">MID("日月火水木金土",WEEKDAY(A23),1)</f>
        <v>月</v>
      </c>
      <c r="C23" s="22" t="n">
        <v>395610</v>
      </c>
      <c r="D23" s="23" t="s">
        <v>39</v>
      </c>
      <c r="E23" s="5"/>
      <c r="F23" s="5"/>
    </row>
    <row r="24" customFormat="false" ht="15" hidden="false" customHeight="false" outlineLevel="0" collapsed="false">
      <c r="A24" s="20" t="n">
        <v>46231</v>
      </c>
      <c r="B24" s="21" t="str">
        <f aca="false">MID("日月火水木金土",WEEKDAY(A24),1)</f>
        <v>火</v>
      </c>
      <c r="C24" s="22" t="n">
        <v>357540</v>
      </c>
      <c r="D24" s="23" t="s">
        <v>42</v>
      </c>
      <c r="E24" s="5"/>
      <c r="F24" s="5"/>
    </row>
    <row r="25" customFormat="false" ht="15" hidden="false" customHeight="false" outlineLevel="0" collapsed="false">
      <c r="A25" s="20" t="n">
        <v>46232</v>
      </c>
      <c r="B25" s="21" t="str">
        <f aca="false">MID("日月火水木金土",WEEKDAY(A25),1)</f>
        <v>水</v>
      </c>
      <c r="C25" s="22" t="n">
        <v>383270</v>
      </c>
      <c r="D25" s="23" t="s">
        <v>39</v>
      </c>
      <c r="E25" s="5"/>
      <c r="F25" s="5"/>
    </row>
    <row r="26" customFormat="false" ht="15" hidden="false" customHeight="false" outlineLevel="0" collapsed="false">
      <c r="A26" s="20" t="n">
        <v>46233</v>
      </c>
      <c r="B26" s="21" t="str">
        <f aca="false">MID("日月火水木金土",WEEKDAY(A26),1)</f>
        <v>木</v>
      </c>
      <c r="C26" s="22" t="n">
        <v>397380</v>
      </c>
      <c r="D26" s="23" t="s">
        <v>40</v>
      </c>
      <c r="E26" s="5"/>
      <c r="F26" s="5"/>
    </row>
    <row r="27" customFormat="false" ht="15" hidden="false" customHeight="false" outlineLevel="0" collapsed="false">
      <c r="A27" s="20" t="n">
        <v>46234</v>
      </c>
      <c r="B27" s="21" t="str">
        <f aca="false">MID("日月火水木金土",WEEKDAY(A27),1)</f>
        <v>金</v>
      </c>
      <c r="C27" s="22" t="n">
        <v>533650</v>
      </c>
      <c r="D27" s="23" t="s">
        <v>42</v>
      </c>
      <c r="E27" s="5"/>
      <c r="F27" s="5"/>
    </row>
    <row r="28" customFormat="false" ht="15" hidden="false" customHeight="false" outlineLevel="0" collapsed="false">
      <c r="A28" s="20" t="n">
        <v>46237</v>
      </c>
      <c r="B28" s="21" t="str">
        <f aca="false">MID("日月火水木金土",WEEKDAY(A28),1)</f>
        <v>月</v>
      </c>
      <c r="C28" s="22" t="n">
        <v>363910</v>
      </c>
      <c r="D28" s="23" t="s">
        <v>40</v>
      </c>
      <c r="E28" s="5"/>
      <c r="F28" s="5"/>
    </row>
    <row r="29" customFormat="false" ht="15" hidden="false" customHeight="false" outlineLevel="0" collapsed="false">
      <c r="A29" s="20" t="n">
        <v>46238</v>
      </c>
      <c r="B29" s="21" t="str">
        <f aca="false">MID("日月火水木金土",WEEKDAY(A29),1)</f>
        <v>火</v>
      </c>
      <c r="C29" s="22" t="n">
        <v>360990</v>
      </c>
      <c r="D29" s="23" t="s">
        <v>42</v>
      </c>
      <c r="E29" s="5"/>
      <c r="F29" s="5"/>
    </row>
    <row r="30" customFormat="false" ht="15" hidden="false" customHeight="false" outlineLevel="0" collapsed="false">
      <c r="A30" s="20" t="n">
        <v>46239</v>
      </c>
      <c r="B30" s="21" t="str">
        <f aca="false">MID("日月火水木金土",WEEKDAY(A30),1)</f>
        <v>水</v>
      </c>
      <c r="C30" s="22" t="n">
        <v>383160</v>
      </c>
      <c r="D30" s="23" t="s">
        <v>42</v>
      </c>
      <c r="E30" s="5"/>
      <c r="F30" s="5"/>
    </row>
    <row r="31" customFormat="false" ht="15" hidden="false" customHeight="false" outlineLevel="0" collapsed="false">
      <c r="A31" s="20" t="n">
        <v>46240</v>
      </c>
      <c r="B31" s="21" t="str">
        <f aca="false">MID("日月火水木金土",WEEKDAY(A31),1)</f>
        <v>木</v>
      </c>
      <c r="C31" s="22" t="n">
        <v>388830</v>
      </c>
      <c r="D31" s="23" t="s">
        <v>40</v>
      </c>
      <c r="E31" s="5"/>
      <c r="F31" s="5"/>
    </row>
    <row r="32" customFormat="false" ht="15" hidden="false" customHeight="false" outlineLevel="0" collapsed="false">
      <c r="A32" s="20" t="n">
        <v>46241</v>
      </c>
      <c r="B32" s="21" t="str">
        <f aca="false">MID("日月火水木金土",WEEKDAY(A32),1)</f>
        <v>金</v>
      </c>
      <c r="C32" s="22" t="n">
        <v>449020</v>
      </c>
      <c r="D32" s="23" t="s">
        <v>40</v>
      </c>
      <c r="E32" s="5"/>
      <c r="F32" s="5"/>
    </row>
    <row r="33" customFormat="false" ht="15" hidden="false" customHeight="false" outlineLevel="0" collapsed="false">
      <c r="A33" s="20" t="n">
        <v>46258</v>
      </c>
      <c r="B33" s="21" t="str">
        <f aca="false">MID("日月火水木金土",WEEKDAY(A33),1)</f>
        <v>月</v>
      </c>
      <c r="C33" s="22" t="n">
        <v>268730</v>
      </c>
      <c r="D33" s="23" t="s">
        <v>40</v>
      </c>
      <c r="E33" s="5"/>
      <c r="F33" s="5"/>
    </row>
    <row r="34" customFormat="false" ht="15" hidden="false" customHeight="false" outlineLevel="0" collapsed="false">
      <c r="A34" s="20" t="n">
        <v>46259</v>
      </c>
      <c r="B34" s="21" t="str">
        <f aca="false">MID("日月火水木金土",WEEKDAY(A34),1)</f>
        <v>火</v>
      </c>
      <c r="C34" s="22" t="n">
        <v>256280</v>
      </c>
      <c r="D34" s="23" t="s">
        <v>40</v>
      </c>
      <c r="E34" s="5"/>
      <c r="F34" s="5"/>
    </row>
    <row r="35" customFormat="false" ht="15" hidden="false" customHeight="false" outlineLevel="0" collapsed="false">
      <c r="A35" s="20" t="n">
        <v>46260</v>
      </c>
      <c r="B35" s="21" t="str">
        <f aca="false">MID("日月火水木金土",WEEKDAY(A35),1)</f>
        <v>水</v>
      </c>
      <c r="C35" s="22" t="n">
        <v>351140</v>
      </c>
      <c r="D35" s="23" t="s">
        <v>42</v>
      </c>
      <c r="E35" s="5"/>
      <c r="F35" s="5"/>
    </row>
    <row r="36" customFormat="false" ht="15" hidden="false" customHeight="false" outlineLevel="0" collapsed="false">
      <c r="A36" s="20" t="n">
        <v>46261</v>
      </c>
      <c r="B36" s="21" t="str">
        <f aca="false">MID("日月火水木金土",WEEKDAY(A36),1)</f>
        <v>木</v>
      </c>
      <c r="C36" s="22" t="n">
        <v>299580</v>
      </c>
      <c r="D36" s="23" t="s">
        <v>38</v>
      </c>
      <c r="E36" s="5"/>
      <c r="F36" s="5"/>
    </row>
    <row r="37" customFormat="false" ht="15" hidden="false" customHeight="false" outlineLevel="0" collapsed="false">
      <c r="A37" s="20" t="n">
        <v>46262</v>
      </c>
      <c r="B37" s="21" t="str">
        <f aca="false">MID("日月火水木金土",WEEKDAY(A37),1)</f>
        <v>金</v>
      </c>
      <c r="C37" s="22" t="n">
        <v>362970</v>
      </c>
      <c r="D37" s="23" t="s">
        <v>42</v>
      </c>
      <c r="E37" s="5"/>
      <c r="F37" s="5"/>
    </row>
    <row r="38" customFormat="false" ht="15" hidden="false" customHeight="false" outlineLevel="0" collapsed="false">
      <c r="A38" s="20" t="n">
        <v>46265</v>
      </c>
      <c r="B38" s="21" t="str">
        <f aca="false">MID("日月火水木金土",WEEKDAY(A38),1)</f>
        <v>月</v>
      </c>
      <c r="C38" s="22" t="n">
        <v>219670</v>
      </c>
      <c r="D38" s="23" t="s">
        <v>42</v>
      </c>
      <c r="E38" s="5"/>
      <c r="F38" s="5"/>
    </row>
    <row r="39" customFormat="false" ht="15" hidden="false" customHeight="false" outlineLevel="0" collapsed="false">
      <c r="A39" s="20" t="n">
        <v>46266</v>
      </c>
      <c r="B39" s="21" t="str">
        <f aca="false">MID("日月火水木金土",WEEKDAY(A39),1)</f>
        <v>火</v>
      </c>
      <c r="C39" s="22" t="n">
        <v>228460</v>
      </c>
      <c r="D39" s="23" t="s">
        <v>42</v>
      </c>
      <c r="E39" s="5"/>
      <c r="F39" s="5"/>
    </row>
    <row r="40" customFormat="false" ht="15" hidden="false" customHeight="false" outlineLevel="0" collapsed="false">
      <c r="A40" s="20" t="n">
        <v>46267</v>
      </c>
      <c r="B40" s="21" t="str">
        <f aca="false">MID("日月火水木金土",WEEKDAY(A40),1)</f>
        <v>水</v>
      </c>
      <c r="C40" s="22" t="n">
        <v>214940</v>
      </c>
      <c r="D40" s="23" t="s">
        <v>38</v>
      </c>
      <c r="E40" s="5"/>
      <c r="F40" s="5"/>
    </row>
    <row r="41" customFormat="false" ht="15" hidden="false" customHeight="false" outlineLevel="0" collapsed="false">
      <c r="A41" s="20" t="n">
        <v>46268</v>
      </c>
      <c r="B41" s="21" t="str">
        <f aca="false">MID("日月火水木金土",WEEKDAY(A41),1)</f>
        <v>木</v>
      </c>
      <c r="C41" s="22" t="n">
        <v>263030</v>
      </c>
      <c r="D41" s="23" t="s">
        <v>42</v>
      </c>
      <c r="E41" s="5"/>
      <c r="F41" s="5"/>
    </row>
    <row r="42" customFormat="false" ht="15" hidden="false" customHeight="false" outlineLevel="0" collapsed="false">
      <c r="A42" s="20" t="n">
        <v>46269</v>
      </c>
      <c r="B42" s="21" t="str">
        <f aca="false">MID("日月火水木金土",WEEKDAY(A42),1)</f>
        <v>金</v>
      </c>
      <c r="C42" s="22" t="n">
        <v>212930</v>
      </c>
      <c r="D42" s="23" t="s">
        <v>42</v>
      </c>
      <c r="E42" s="5"/>
      <c r="F42" s="5"/>
    </row>
    <row r="43" customFormat="false" ht="15" hidden="false" customHeight="false" outlineLevel="0" collapsed="false">
      <c r="A43" s="20" t="n">
        <v>46272</v>
      </c>
      <c r="B43" s="21" t="str">
        <f aca="false">MID("日月火水木金土",WEEKDAY(A43),1)</f>
        <v>月</v>
      </c>
      <c r="C43" s="22" t="n">
        <v>207730</v>
      </c>
      <c r="D43" s="23" t="s">
        <v>40</v>
      </c>
      <c r="E43" s="5"/>
      <c r="F43" s="5"/>
    </row>
    <row r="44" customFormat="false" ht="15" hidden="false" customHeight="false" outlineLevel="0" collapsed="false">
      <c r="A44" s="20" t="n">
        <v>46273</v>
      </c>
      <c r="B44" s="21" t="str">
        <f aca="false">MID("日月火水木金土",WEEKDAY(A44),1)</f>
        <v>火</v>
      </c>
      <c r="C44" s="22" t="n">
        <v>335170</v>
      </c>
      <c r="D44" s="23" t="s">
        <v>40</v>
      </c>
      <c r="E44" s="5"/>
      <c r="F44" s="5"/>
    </row>
    <row r="45" customFormat="false" ht="15" hidden="false" customHeight="false" outlineLevel="0" collapsed="false">
      <c r="A45" s="20" t="n">
        <v>46274</v>
      </c>
      <c r="B45" s="21" t="str">
        <f aca="false">MID("日月火水木金土",WEEKDAY(A45),1)</f>
        <v>水</v>
      </c>
      <c r="C45" s="22" t="n">
        <v>212760</v>
      </c>
      <c r="D45" s="23" t="s">
        <v>42</v>
      </c>
      <c r="E45" s="5"/>
      <c r="F45" s="5"/>
    </row>
    <row r="46" customFormat="false" ht="15" hidden="false" customHeight="false" outlineLevel="0" collapsed="false">
      <c r="A46" s="20" t="n">
        <v>46275</v>
      </c>
      <c r="B46" s="21" t="str">
        <f aca="false">MID("日月火水木金土",WEEKDAY(A46),1)</f>
        <v>木</v>
      </c>
      <c r="C46" s="22" t="n">
        <v>294500</v>
      </c>
      <c r="D46" s="23" t="s">
        <v>42</v>
      </c>
      <c r="E46" s="5"/>
      <c r="F46" s="5"/>
    </row>
    <row r="47" customFormat="false" ht="15" hidden="false" customHeight="false" outlineLevel="0" collapsed="false">
      <c r="A47" s="20" t="n">
        <v>46276</v>
      </c>
      <c r="B47" s="21" t="str">
        <f aca="false">MID("日月火水木金土",WEEKDAY(A47),1)</f>
        <v>金</v>
      </c>
      <c r="C47" s="22" t="n">
        <v>320850</v>
      </c>
      <c r="D47" s="23" t="s">
        <v>40</v>
      </c>
      <c r="E47" s="5"/>
      <c r="F47" s="5"/>
    </row>
    <row r="48" customFormat="false" ht="15" hidden="false" customHeight="false" outlineLevel="0" collapsed="false">
      <c r="A48" s="20" t="n">
        <v>46279</v>
      </c>
      <c r="B48" s="21" t="str">
        <f aca="false">MID("日月火水木金土",WEEKDAY(A48),1)</f>
        <v>月</v>
      </c>
      <c r="C48" s="22" t="n">
        <v>215510</v>
      </c>
      <c r="D48" s="23" t="s">
        <v>42</v>
      </c>
      <c r="E48" s="5"/>
      <c r="F48" s="5"/>
    </row>
    <row r="49" customFormat="false" ht="15" hidden="false" customHeight="false" outlineLevel="0" collapsed="false">
      <c r="A49" s="20" t="n">
        <v>46280</v>
      </c>
      <c r="B49" s="21" t="str">
        <f aca="false">MID("日月火水木金土",WEEKDAY(A49),1)</f>
        <v>火</v>
      </c>
      <c r="C49" s="22" t="n">
        <v>167060</v>
      </c>
      <c r="D49" s="23" t="s">
        <v>38</v>
      </c>
      <c r="E49" s="5"/>
      <c r="F49" s="5"/>
    </row>
    <row r="50" customFormat="false" ht="15" hidden="false" customHeight="false" outlineLevel="0" collapsed="false">
      <c r="A50" s="20" t="n">
        <v>46281</v>
      </c>
      <c r="B50" s="21" t="str">
        <f aca="false">MID("日月火水木金土",WEEKDAY(A50),1)</f>
        <v>水</v>
      </c>
      <c r="C50" s="22" t="n">
        <v>392050</v>
      </c>
      <c r="D50" s="23" t="s">
        <v>42</v>
      </c>
      <c r="E50" s="5"/>
      <c r="F50" s="5"/>
    </row>
    <row r="51" customFormat="false" ht="15" hidden="false" customHeight="false" outlineLevel="0" collapsed="false">
      <c r="A51" s="20" t="n">
        <v>46282</v>
      </c>
      <c r="B51" s="21" t="str">
        <f aca="false">MID("日月火水木金土",WEEKDAY(A51),1)</f>
        <v>木</v>
      </c>
      <c r="C51" s="22" t="n">
        <v>259100</v>
      </c>
      <c r="D51" s="23" t="s">
        <v>40</v>
      </c>
      <c r="E51" s="5"/>
      <c r="F51" s="5"/>
    </row>
    <row r="52" customFormat="false" ht="15" hidden="false" customHeight="false" outlineLevel="0" collapsed="false">
      <c r="A52" s="20" t="n">
        <v>46283</v>
      </c>
      <c r="B52" s="21" t="str">
        <f aca="false">MID("日月火水木金土",WEEKDAY(A52),1)</f>
        <v>金</v>
      </c>
      <c r="C52" s="22" t="n">
        <v>278990</v>
      </c>
      <c r="D52" s="23" t="s">
        <v>40</v>
      </c>
      <c r="E52" s="5"/>
      <c r="F52" s="5"/>
    </row>
    <row r="53" customFormat="false" ht="15" hidden="false" customHeight="false" outlineLevel="0" collapsed="false">
      <c r="A53" s="20" t="n">
        <v>46286</v>
      </c>
      <c r="B53" s="21" t="str">
        <f aca="false">MID("日月火水木金土",WEEKDAY(A53),1)</f>
        <v>月</v>
      </c>
      <c r="C53" s="22" t="n">
        <v>606440</v>
      </c>
      <c r="D53" s="23" t="s">
        <v>42</v>
      </c>
      <c r="E53" s="23" t="s">
        <v>43</v>
      </c>
      <c r="F53" s="5"/>
    </row>
    <row r="54" customFormat="false" ht="15" hidden="false" customHeight="false" outlineLevel="0" collapsed="false">
      <c r="A54" s="20" t="n">
        <v>46287</v>
      </c>
      <c r="B54" s="21" t="str">
        <f aca="false">MID("日月火水木金土",WEEKDAY(A54),1)</f>
        <v>火</v>
      </c>
      <c r="C54" s="22" t="n">
        <v>471650</v>
      </c>
      <c r="D54" s="23" t="s">
        <v>39</v>
      </c>
      <c r="E54" s="23" t="s">
        <v>44</v>
      </c>
      <c r="F54" s="5"/>
    </row>
    <row r="55" customFormat="false" ht="15" hidden="false" customHeight="false" outlineLevel="0" collapsed="false">
      <c r="A55" s="20" t="n">
        <v>46288</v>
      </c>
      <c r="B55" s="21" t="str">
        <f aca="false">MID("日月火水木金土",WEEKDAY(A55),1)</f>
        <v>水</v>
      </c>
      <c r="C55" s="22" t="n">
        <v>425490</v>
      </c>
      <c r="D55" s="23" t="s">
        <v>42</v>
      </c>
      <c r="E55" s="23" t="s">
        <v>45</v>
      </c>
      <c r="F55" s="5"/>
    </row>
    <row r="56" customFormat="false" ht="15" hidden="false" customHeight="false" outlineLevel="0" collapsed="false">
      <c r="A56" s="20" t="n">
        <v>46289</v>
      </c>
      <c r="B56" s="21" t="str">
        <f aca="false">MID("日月火水木金土",WEEKDAY(A56),1)</f>
        <v>木</v>
      </c>
      <c r="C56" s="22" t="n">
        <v>223490</v>
      </c>
      <c r="D56" s="23" t="s">
        <v>40</v>
      </c>
      <c r="E56" s="5"/>
      <c r="F56" s="5"/>
    </row>
    <row r="57" customFormat="false" ht="15" hidden="false" customHeight="false" outlineLevel="0" collapsed="false">
      <c r="A57" s="20" t="n">
        <v>46290</v>
      </c>
      <c r="B57" s="21" t="str">
        <f aca="false">MID("日月火水木金土",WEEKDAY(A57),1)</f>
        <v>金</v>
      </c>
      <c r="C57" s="22" t="n">
        <v>235170</v>
      </c>
      <c r="D57" s="23" t="s">
        <v>40</v>
      </c>
      <c r="E57" s="5"/>
      <c r="F57" s="5"/>
    </row>
    <row r="58" customFormat="false" ht="15" hidden="false" customHeight="false" outlineLevel="0" collapsed="false">
      <c r="A58" s="20" t="n">
        <v>46293</v>
      </c>
      <c r="B58" s="21" t="str">
        <f aca="false">MID("日月火水木金土",WEEKDAY(A58),1)</f>
        <v>月</v>
      </c>
      <c r="C58" s="22" t="n">
        <v>175910</v>
      </c>
      <c r="D58" s="23" t="s">
        <v>40</v>
      </c>
      <c r="E58" s="5"/>
      <c r="F58" s="5"/>
    </row>
    <row r="59" customFormat="false" ht="15" hidden="false" customHeight="false" outlineLevel="0" collapsed="false">
      <c r="A59" s="20" t="n">
        <v>46294</v>
      </c>
      <c r="B59" s="21" t="str">
        <f aca="false">MID("日月火水木金土",WEEKDAY(A59),1)</f>
        <v>火</v>
      </c>
      <c r="C59" s="22" t="n">
        <v>203590</v>
      </c>
      <c r="D59" s="23" t="s">
        <v>42</v>
      </c>
      <c r="E59" s="5"/>
      <c r="F59" s="5"/>
    </row>
    <row r="60" customFormat="false" ht="15" hidden="false" customHeight="false" outlineLevel="0" collapsed="false">
      <c r="A60" s="20" t="n">
        <v>46295</v>
      </c>
      <c r="B60" s="21" t="str">
        <f aca="false">MID("日月火水木金土",WEEKDAY(A60),1)</f>
        <v>水</v>
      </c>
      <c r="C60" s="22" t="n">
        <v>204670</v>
      </c>
      <c r="D60" s="23" t="s">
        <v>42</v>
      </c>
      <c r="E60" s="5"/>
      <c r="F60" s="5"/>
    </row>
    <row r="61" customFormat="false" ht="15" hidden="false" customHeight="false" outlineLevel="0" collapsed="false">
      <c r="A61" s="20" t="n">
        <v>46296</v>
      </c>
      <c r="B61" s="21" t="str">
        <f aca="false">MID("日月火水木金土",WEEKDAY(A61),1)</f>
        <v>木</v>
      </c>
      <c r="C61" s="22" t="n">
        <v>165390</v>
      </c>
      <c r="D61" s="23" t="s">
        <v>40</v>
      </c>
      <c r="E61" s="5"/>
      <c r="F61" s="5"/>
    </row>
    <row r="62" customFormat="false" ht="15" hidden="false" customHeight="false" outlineLevel="0" collapsed="false">
      <c r="A62" s="20" t="n">
        <v>46297</v>
      </c>
      <c r="B62" s="21" t="str">
        <f aca="false">MID("日月火水木金土",WEEKDAY(A62),1)</f>
        <v>金</v>
      </c>
      <c r="C62" s="22" t="n">
        <v>250680</v>
      </c>
      <c r="D62" s="23" t="s">
        <v>42</v>
      </c>
      <c r="E62" s="5"/>
      <c r="F62" s="5"/>
    </row>
    <row r="63" customFormat="false" ht="15" hidden="false" customHeight="false" outlineLevel="0" collapsed="false">
      <c r="A63" s="20" t="n">
        <v>46300</v>
      </c>
      <c r="B63" s="21" t="str">
        <f aca="false">MID("日月火水木金土",WEEKDAY(A63),1)</f>
        <v>月</v>
      </c>
      <c r="C63" s="22" t="n">
        <v>190960</v>
      </c>
      <c r="D63" s="23" t="s">
        <v>42</v>
      </c>
      <c r="E63" s="5"/>
      <c r="F63" s="5"/>
    </row>
    <row r="64" customFormat="false" ht="15" hidden="false" customHeight="false" outlineLevel="0" collapsed="false">
      <c r="A64" s="20" t="n">
        <v>46301</v>
      </c>
      <c r="B64" s="21" t="str">
        <f aca="false">MID("日月火水木金土",WEEKDAY(A64),1)</f>
        <v>火</v>
      </c>
      <c r="C64" s="22" t="n">
        <v>237070</v>
      </c>
      <c r="D64" s="23" t="s">
        <v>42</v>
      </c>
      <c r="E64" s="5"/>
      <c r="F64" s="5"/>
    </row>
    <row r="65" customFormat="false" ht="15" hidden="false" customHeight="false" outlineLevel="0" collapsed="false">
      <c r="A65" s="20" t="n">
        <v>46302</v>
      </c>
      <c r="B65" s="21" t="str">
        <f aca="false">MID("日月火水木金土",WEEKDAY(A65),1)</f>
        <v>水</v>
      </c>
      <c r="C65" s="22" t="n">
        <v>264350</v>
      </c>
      <c r="D65" s="23" t="s">
        <v>40</v>
      </c>
      <c r="E65" s="5"/>
      <c r="F65" s="5"/>
    </row>
    <row r="66" customFormat="false" ht="15" hidden="false" customHeight="false" outlineLevel="0" collapsed="false">
      <c r="A66" s="20" t="n">
        <v>46303</v>
      </c>
      <c r="B66" s="21" t="str">
        <f aca="false">MID("日月火水木金土",WEEKDAY(A66),1)</f>
        <v>木</v>
      </c>
      <c r="C66" s="22" t="n">
        <v>211130</v>
      </c>
      <c r="D66" s="23" t="s">
        <v>42</v>
      </c>
      <c r="E66" s="5"/>
      <c r="F66" s="5"/>
    </row>
    <row r="67" customFormat="false" ht="15" hidden="false" customHeight="false" outlineLevel="0" collapsed="false">
      <c r="A67" s="20" t="n">
        <v>46304</v>
      </c>
      <c r="B67" s="21" t="str">
        <f aca="false">MID("日月火水木金土",WEEKDAY(A67),1)</f>
        <v>金</v>
      </c>
      <c r="C67" s="22" t="n">
        <v>247550</v>
      </c>
      <c r="D67" s="23" t="s">
        <v>42</v>
      </c>
      <c r="E67" s="5"/>
      <c r="F67" s="5"/>
    </row>
    <row r="68" customFormat="false" ht="15" hidden="false" customHeight="false" outlineLevel="0" collapsed="false">
      <c r="A68" s="20" t="n">
        <v>46307</v>
      </c>
      <c r="B68" s="21" t="str">
        <f aca="false">MID("日月火水木金土",WEEKDAY(A68),1)</f>
        <v>月</v>
      </c>
      <c r="C68" s="22" t="n">
        <v>344250</v>
      </c>
      <c r="D68" s="23" t="s">
        <v>42</v>
      </c>
      <c r="E68" s="23" t="s">
        <v>46</v>
      </c>
      <c r="F68" s="5"/>
    </row>
    <row r="69" customFormat="false" ht="15" hidden="false" customHeight="false" outlineLevel="0" collapsed="false">
      <c r="A69" s="20" t="n">
        <v>46308</v>
      </c>
      <c r="B69" s="21" t="str">
        <f aca="false">MID("日月火水木金土",WEEKDAY(A69),1)</f>
        <v>火</v>
      </c>
      <c r="C69" s="22" t="n">
        <v>167680</v>
      </c>
      <c r="D69" s="23" t="s">
        <v>42</v>
      </c>
      <c r="E69" s="5"/>
      <c r="F69" s="5"/>
    </row>
    <row r="70" customFormat="false" ht="15" hidden="false" customHeight="false" outlineLevel="0" collapsed="false">
      <c r="A70" s="20" t="n">
        <v>46309</v>
      </c>
      <c r="B70" s="21" t="str">
        <f aca="false">MID("日月火水木金土",WEEKDAY(A70),1)</f>
        <v>水</v>
      </c>
      <c r="C70" s="22" t="n">
        <v>241620</v>
      </c>
      <c r="D70" s="23" t="s">
        <v>42</v>
      </c>
      <c r="E70" s="5"/>
      <c r="F70" s="5"/>
    </row>
    <row r="71" customFormat="false" ht="15" hidden="false" customHeight="false" outlineLevel="0" collapsed="false">
      <c r="A71" s="20" t="n">
        <v>46310</v>
      </c>
      <c r="B71" s="21" t="str">
        <f aca="false">MID("日月火水木金土",WEEKDAY(A71),1)</f>
        <v>木</v>
      </c>
      <c r="C71" s="22" t="n">
        <v>213180</v>
      </c>
      <c r="D71" s="23" t="s">
        <v>40</v>
      </c>
      <c r="E71" s="5"/>
      <c r="F71" s="5"/>
    </row>
    <row r="72" customFormat="false" ht="15" hidden="false" customHeight="false" outlineLevel="0" collapsed="false">
      <c r="A72" s="15" t="s">
        <v>15</v>
      </c>
      <c r="C72" s="24" t="n">
        <f aca="false">SUM(C2:C71)</f>
        <v>23058840</v>
      </c>
    </row>
    <row r="73" customFormat="false" ht="15" hidden="false" customHeight="false" outlineLevel="0" collapsed="false">
      <c r="A73" s="15" t="s">
        <v>47</v>
      </c>
      <c r="C73" s="15" t="n">
        <f aca="false">COUNT(C2:C71)</f>
        <v>70</v>
      </c>
    </row>
    <row r="74" customFormat="false" ht="15" hidden="false" customHeight="false" outlineLevel="0" collapsed="false">
      <c r="A74" s="25" t="s">
        <v>48</v>
      </c>
      <c r="C74" s="24" t="n">
        <f aca="false">IF(C73=0,0,C72/C73)</f>
        <v>329412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28"/>
  </cols>
  <sheetData>
    <row r="1" customFormat="false" ht="15" hidden="false" customHeight="false" outlineLevel="0" collapsed="false">
      <c r="A1" s="26" t="s">
        <v>32</v>
      </c>
      <c r="B1" s="26" t="s">
        <v>33</v>
      </c>
      <c r="C1" s="26" t="s">
        <v>34</v>
      </c>
      <c r="D1" s="26" t="s">
        <v>35</v>
      </c>
      <c r="E1" s="26" t="s">
        <v>36</v>
      </c>
      <c r="F1" s="26" t="s">
        <v>37</v>
      </c>
    </row>
    <row r="2" customFormat="false" ht="15" hidden="false" customHeight="false" outlineLevel="0" collapsed="false">
      <c r="A2" s="20" t="n">
        <v>46194</v>
      </c>
      <c r="B2" s="21" t="str">
        <f aca="false">MID("日月火水木金土",WEEKDAY(A2),1)</f>
        <v>日</v>
      </c>
      <c r="C2" s="22" t="n">
        <v>636370</v>
      </c>
      <c r="D2" s="23" t="s">
        <v>39</v>
      </c>
      <c r="E2" s="5"/>
      <c r="F2" s="5"/>
    </row>
    <row r="3" customFormat="false" ht="15" hidden="false" customHeight="false" outlineLevel="0" collapsed="false">
      <c r="A3" s="20" t="n">
        <v>46200</v>
      </c>
      <c r="B3" s="21" t="str">
        <f aca="false">MID("日月火水木金土",WEEKDAY(A3),1)</f>
        <v>土</v>
      </c>
      <c r="C3" s="22" t="n">
        <v>716170</v>
      </c>
      <c r="D3" s="23" t="s">
        <v>38</v>
      </c>
      <c r="E3" s="5"/>
      <c r="F3" s="5"/>
    </row>
    <row r="4" customFormat="false" ht="15" hidden="false" customHeight="false" outlineLevel="0" collapsed="false">
      <c r="A4" s="20" t="n">
        <v>46201</v>
      </c>
      <c r="B4" s="21" t="str">
        <f aca="false">MID("日月火水木金土",WEEKDAY(A4),1)</f>
        <v>日</v>
      </c>
      <c r="C4" s="22" t="n">
        <v>707360</v>
      </c>
      <c r="D4" s="23" t="s">
        <v>39</v>
      </c>
      <c r="E4" s="5"/>
      <c r="F4" s="5"/>
    </row>
    <row r="5" customFormat="false" ht="15" hidden="false" customHeight="false" outlineLevel="0" collapsed="false">
      <c r="A5" s="20" t="n">
        <v>46207</v>
      </c>
      <c r="B5" s="21" t="str">
        <f aca="false">MID("日月火水木金土",WEEKDAY(A5),1)</f>
        <v>土</v>
      </c>
      <c r="C5" s="22" t="n">
        <v>833600</v>
      </c>
      <c r="D5" s="23" t="s">
        <v>39</v>
      </c>
      <c r="E5" s="5"/>
      <c r="F5" s="5"/>
    </row>
    <row r="6" customFormat="false" ht="15" hidden="false" customHeight="false" outlineLevel="0" collapsed="false">
      <c r="A6" s="20" t="n">
        <v>46208</v>
      </c>
      <c r="B6" s="21" t="str">
        <f aca="false">MID("日月火水木金土",WEEKDAY(A6),1)</f>
        <v>日</v>
      </c>
      <c r="C6" s="22" t="n">
        <v>717490</v>
      </c>
      <c r="D6" s="23" t="s">
        <v>38</v>
      </c>
      <c r="E6" s="5"/>
      <c r="F6" s="5"/>
    </row>
    <row r="7" customFormat="false" ht="15" hidden="false" customHeight="false" outlineLevel="0" collapsed="false">
      <c r="A7" s="20" t="n">
        <v>46214</v>
      </c>
      <c r="B7" s="21" t="str">
        <f aca="false">MID("日月火水木金土",WEEKDAY(A7),1)</f>
        <v>土</v>
      </c>
      <c r="C7" s="22" t="n">
        <v>773400</v>
      </c>
      <c r="D7" s="23" t="s">
        <v>38</v>
      </c>
      <c r="E7" s="5"/>
      <c r="F7" s="5"/>
    </row>
    <row r="8" customFormat="false" ht="15" hidden="false" customHeight="false" outlineLevel="0" collapsed="false">
      <c r="A8" s="20" t="n">
        <v>46215</v>
      </c>
      <c r="B8" s="21" t="str">
        <f aca="false">MID("日月火水木金土",WEEKDAY(A8),1)</f>
        <v>日</v>
      </c>
      <c r="C8" s="22" t="n">
        <v>786550</v>
      </c>
      <c r="D8" s="23" t="s">
        <v>38</v>
      </c>
      <c r="E8" s="5"/>
      <c r="F8" s="5"/>
    </row>
    <row r="9" customFormat="false" ht="15" hidden="false" customHeight="false" outlineLevel="0" collapsed="false">
      <c r="A9" s="20" t="n">
        <v>46221</v>
      </c>
      <c r="B9" s="21" t="str">
        <f aca="false">MID("日月火水木金土",WEEKDAY(A9),1)</f>
        <v>土</v>
      </c>
      <c r="C9" s="22" t="n">
        <v>652640</v>
      </c>
      <c r="D9" s="23" t="s">
        <v>39</v>
      </c>
      <c r="E9" s="5"/>
      <c r="F9" s="5"/>
    </row>
    <row r="10" customFormat="false" ht="15" hidden="false" customHeight="false" outlineLevel="0" collapsed="false">
      <c r="A10" s="20" t="n">
        <v>46222</v>
      </c>
      <c r="B10" s="21" t="str">
        <f aca="false">MID("日月火水木金土",WEEKDAY(A10),1)</f>
        <v>日</v>
      </c>
      <c r="C10" s="22" t="n">
        <v>737850</v>
      </c>
      <c r="D10" s="23" t="s">
        <v>40</v>
      </c>
      <c r="E10" s="5"/>
      <c r="F10" s="5"/>
    </row>
    <row r="11" customFormat="false" ht="15" hidden="false" customHeight="false" outlineLevel="0" collapsed="false">
      <c r="A11" s="20" t="n">
        <v>46228</v>
      </c>
      <c r="B11" s="21" t="str">
        <f aca="false">MID("日月火水木金土",WEEKDAY(A11),1)</f>
        <v>土</v>
      </c>
      <c r="C11" s="22" t="n">
        <v>615300</v>
      </c>
      <c r="D11" s="23" t="s">
        <v>40</v>
      </c>
      <c r="E11" s="5"/>
      <c r="F11" s="5"/>
    </row>
    <row r="12" customFormat="false" ht="15" hidden="false" customHeight="false" outlineLevel="0" collapsed="false">
      <c r="A12" s="20" t="n">
        <v>46229</v>
      </c>
      <c r="B12" s="21" t="str">
        <f aca="false">MID("日月火水木金土",WEEKDAY(A12),1)</f>
        <v>日</v>
      </c>
      <c r="C12" s="22" t="n">
        <v>695890</v>
      </c>
      <c r="D12" s="23" t="s">
        <v>42</v>
      </c>
      <c r="E12" s="5"/>
      <c r="F12" s="23" t="s">
        <v>49</v>
      </c>
    </row>
    <row r="13" customFormat="false" ht="15" hidden="false" customHeight="false" outlineLevel="0" collapsed="false">
      <c r="A13" s="20" t="n">
        <v>46235</v>
      </c>
      <c r="B13" s="21" t="str">
        <f aca="false">MID("日月火水木金土",WEEKDAY(A13),1)</f>
        <v>土</v>
      </c>
      <c r="C13" s="22" t="n">
        <v>664790</v>
      </c>
      <c r="D13" s="23" t="s">
        <v>42</v>
      </c>
      <c r="E13" s="5"/>
      <c r="F13" s="5"/>
    </row>
    <row r="14" customFormat="false" ht="15" hidden="false" customHeight="false" outlineLevel="0" collapsed="false">
      <c r="A14" s="20" t="n">
        <v>46236</v>
      </c>
      <c r="B14" s="21" t="str">
        <f aca="false">MID("日月火水木金土",WEEKDAY(A14),1)</f>
        <v>日</v>
      </c>
      <c r="C14" s="22" t="n">
        <v>711580</v>
      </c>
      <c r="D14" s="23" t="s">
        <v>42</v>
      </c>
      <c r="E14" s="5"/>
      <c r="F14" s="5"/>
    </row>
    <row r="15" customFormat="false" ht="15" hidden="false" customHeight="false" outlineLevel="0" collapsed="false">
      <c r="A15" s="20" t="n">
        <v>46263</v>
      </c>
      <c r="B15" s="21" t="str">
        <f aca="false">MID("日月火水木金土",WEEKDAY(A15),1)</f>
        <v>土</v>
      </c>
      <c r="C15" s="22" t="n">
        <v>554810</v>
      </c>
      <c r="D15" s="23" t="s">
        <v>42</v>
      </c>
      <c r="E15" s="5"/>
      <c r="F15" s="5"/>
    </row>
    <row r="16" customFormat="false" ht="15" hidden="false" customHeight="false" outlineLevel="0" collapsed="false">
      <c r="A16" s="20" t="n">
        <v>46264</v>
      </c>
      <c r="B16" s="21" t="str">
        <f aca="false">MID("日月火水木金土",WEEKDAY(A16),1)</f>
        <v>日</v>
      </c>
      <c r="C16" s="22" t="n">
        <v>477270</v>
      </c>
      <c r="D16" s="23" t="s">
        <v>39</v>
      </c>
      <c r="E16" s="5"/>
      <c r="F16" s="5"/>
    </row>
    <row r="17" customFormat="false" ht="15" hidden="false" customHeight="false" outlineLevel="0" collapsed="false">
      <c r="A17" s="20" t="n">
        <v>46270</v>
      </c>
      <c r="B17" s="21" t="str">
        <f aca="false">MID("日月火水木金土",WEEKDAY(A17),1)</f>
        <v>土</v>
      </c>
      <c r="C17" s="22" t="n">
        <v>573870</v>
      </c>
      <c r="D17" s="23" t="s">
        <v>39</v>
      </c>
      <c r="E17" s="5"/>
      <c r="F17" s="5"/>
    </row>
    <row r="18" customFormat="false" ht="15" hidden="false" customHeight="false" outlineLevel="0" collapsed="false">
      <c r="A18" s="20" t="n">
        <v>46271</v>
      </c>
      <c r="B18" s="21" t="str">
        <f aca="false">MID("日月火水木金土",WEEKDAY(A18),1)</f>
        <v>日</v>
      </c>
      <c r="C18" s="22" t="n">
        <v>543590</v>
      </c>
      <c r="D18" s="23" t="s">
        <v>42</v>
      </c>
      <c r="E18" s="5"/>
      <c r="F18" s="5"/>
    </row>
    <row r="19" customFormat="false" ht="15" hidden="false" customHeight="false" outlineLevel="0" collapsed="false">
      <c r="A19" s="20" t="n">
        <v>46277</v>
      </c>
      <c r="B19" s="21" t="str">
        <f aca="false">MID("日月火水木金土",WEEKDAY(A19),1)</f>
        <v>土</v>
      </c>
      <c r="C19" s="22" t="n">
        <v>507490</v>
      </c>
      <c r="D19" s="23" t="s">
        <v>42</v>
      </c>
      <c r="E19" s="5"/>
      <c r="F19" s="5"/>
    </row>
    <row r="20" customFormat="false" ht="15" hidden="false" customHeight="false" outlineLevel="0" collapsed="false">
      <c r="A20" s="20" t="n">
        <v>46278</v>
      </c>
      <c r="B20" s="21" t="str">
        <f aca="false">MID("日月火水木金土",WEEKDAY(A20),1)</f>
        <v>日</v>
      </c>
      <c r="C20" s="22" t="n">
        <v>543290</v>
      </c>
      <c r="D20" s="23" t="s">
        <v>42</v>
      </c>
      <c r="E20" s="5"/>
      <c r="F20" s="5"/>
    </row>
    <row r="21" customFormat="false" ht="15" hidden="false" customHeight="false" outlineLevel="0" collapsed="false">
      <c r="A21" s="20" t="n">
        <v>46284</v>
      </c>
      <c r="B21" s="21" t="str">
        <f aca="false">MID("日月火水木金土",WEEKDAY(A21),1)</f>
        <v>土</v>
      </c>
      <c r="C21" s="22" t="n">
        <v>466800</v>
      </c>
      <c r="D21" s="23" t="s">
        <v>42</v>
      </c>
      <c r="E21" s="5"/>
      <c r="F21" s="5"/>
    </row>
    <row r="22" customFormat="false" ht="15" hidden="false" customHeight="false" outlineLevel="0" collapsed="false">
      <c r="A22" s="20" t="n">
        <v>46285</v>
      </c>
      <c r="B22" s="21" t="str">
        <f aca="false">MID("日月火水木金土",WEEKDAY(A22),1)</f>
        <v>日</v>
      </c>
      <c r="C22" s="22" t="n">
        <v>586850</v>
      </c>
      <c r="D22" s="23" t="s">
        <v>42</v>
      </c>
      <c r="E22" s="5"/>
      <c r="F22" s="5"/>
    </row>
    <row r="23" customFormat="false" ht="15" hidden="false" customHeight="false" outlineLevel="0" collapsed="false">
      <c r="A23" s="20" t="n">
        <v>46291</v>
      </c>
      <c r="B23" s="21" t="str">
        <f aca="false">MID("日月火水木金土",WEEKDAY(A23),1)</f>
        <v>土</v>
      </c>
      <c r="C23" s="22" t="n">
        <v>569450</v>
      </c>
      <c r="D23" s="23" t="s">
        <v>39</v>
      </c>
      <c r="E23" s="5"/>
      <c r="F23" s="5"/>
    </row>
    <row r="24" customFormat="false" ht="15" hidden="false" customHeight="false" outlineLevel="0" collapsed="false">
      <c r="A24" s="20" t="n">
        <v>46292</v>
      </c>
      <c r="B24" s="21" t="str">
        <f aca="false">MID("日月火水木金土",WEEKDAY(A24),1)</f>
        <v>日</v>
      </c>
      <c r="C24" s="22" t="n">
        <v>512050</v>
      </c>
      <c r="D24" s="23" t="s">
        <v>42</v>
      </c>
      <c r="E24" s="5"/>
      <c r="F24" s="5"/>
    </row>
    <row r="25" customFormat="false" ht="15" hidden="false" customHeight="false" outlineLevel="0" collapsed="false">
      <c r="A25" s="20" t="n">
        <v>46298</v>
      </c>
      <c r="B25" s="21" t="str">
        <f aca="false">MID("日月火水木金土",WEEKDAY(A25),1)</f>
        <v>土</v>
      </c>
      <c r="C25" s="22" t="n">
        <v>454190</v>
      </c>
      <c r="D25" s="23" t="s">
        <v>42</v>
      </c>
      <c r="E25" s="5"/>
      <c r="F25" s="5"/>
    </row>
    <row r="26" customFormat="false" ht="15" hidden="false" customHeight="false" outlineLevel="0" collapsed="false">
      <c r="A26" s="20" t="n">
        <v>46299</v>
      </c>
      <c r="B26" s="21" t="str">
        <f aca="false">MID("日月火水木金土",WEEKDAY(A26),1)</f>
        <v>日</v>
      </c>
      <c r="C26" s="22" t="n">
        <v>606680</v>
      </c>
      <c r="D26" s="23" t="s">
        <v>42</v>
      </c>
      <c r="E26" s="5"/>
      <c r="F26" s="5"/>
    </row>
    <row r="27" customFormat="false" ht="15" hidden="false" customHeight="false" outlineLevel="0" collapsed="false">
      <c r="A27" s="20" t="n">
        <v>46305</v>
      </c>
      <c r="B27" s="21" t="str">
        <f aca="false">MID("日月火水木金土",WEEKDAY(A27),1)</f>
        <v>土</v>
      </c>
      <c r="C27" s="22" t="n">
        <v>377970</v>
      </c>
      <c r="D27" s="23" t="s">
        <v>42</v>
      </c>
      <c r="E27" s="5"/>
      <c r="F27" s="5"/>
    </row>
    <row r="28" customFormat="false" ht="15" hidden="false" customHeight="false" outlineLevel="0" collapsed="false">
      <c r="A28" s="20" t="n">
        <v>46306</v>
      </c>
      <c r="B28" s="21" t="str">
        <f aca="false">MID("日月火水木金土",WEEKDAY(A28),1)</f>
        <v>日</v>
      </c>
      <c r="C28" s="22" t="n">
        <v>498390</v>
      </c>
      <c r="D28" s="23" t="s">
        <v>42</v>
      </c>
      <c r="E28" s="5"/>
      <c r="F28" s="5"/>
    </row>
    <row r="29" customFormat="false" ht="15" hidden="false" customHeight="false" outlineLevel="0" collapsed="false">
      <c r="A29" s="15" t="s">
        <v>15</v>
      </c>
      <c r="C29" s="24" t="n">
        <f aca="false">SUM(C2:C28)</f>
        <v>16521690</v>
      </c>
    </row>
    <row r="30" customFormat="false" ht="15" hidden="false" customHeight="false" outlineLevel="0" collapsed="false">
      <c r="A30" s="15" t="s">
        <v>47</v>
      </c>
      <c r="C30" s="15" t="n">
        <f aca="false">COUNT(C2:C28)</f>
        <v>27</v>
      </c>
    </row>
    <row r="31" customFormat="false" ht="15" hidden="false" customHeight="false" outlineLevel="0" collapsed="false">
      <c r="A31" s="25" t="s">
        <v>48</v>
      </c>
      <c r="C31" s="24" t="n">
        <f aca="false">IF(C30=0,0,C29/C30)</f>
        <v>611914.444444445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</cols>
  <sheetData>
    <row r="1" customFormat="false" ht="15" hidden="false" customHeight="false" outlineLevel="0" collapsed="false">
      <c r="A1" s="27" t="s">
        <v>32</v>
      </c>
      <c r="B1" s="28" t="s">
        <v>50</v>
      </c>
      <c r="C1" s="29" t="s">
        <v>51</v>
      </c>
    </row>
    <row r="2" customFormat="false" ht="15" hidden="false" customHeight="false" outlineLevel="0" collapsed="false">
      <c r="A2" s="30" t="n">
        <v>46194</v>
      </c>
      <c r="B2" s="31" t="str">
        <f aca="false">IFERROR(INDEX(平日!$C$2:$C$71,MATCH(A2,平日!$A$2:$A$71,0)),"")</f>
        <v/>
      </c>
      <c r="C2" s="31" t="n">
        <f aca="false">IFERROR(INDEX(土日!$C$2:$C$28,MATCH(A2,土日!$A$2:$A$28,0)),"")</f>
        <v>636370</v>
      </c>
    </row>
    <row r="3" customFormat="false" ht="15" hidden="false" customHeight="false" outlineLevel="0" collapsed="false">
      <c r="A3" s="30" t="n">
        <v>46195</v>
      </c>
      <c r="B3" s="31" t="n">
        <f aca="false">IFERROR(INDEX(平日!$C$2:$C$71,MATCH(A3,平日!$A$2:$A$71,0)),"")</f>
        <v>386840</v>
      </c>
      <c r="C3" s="31" t="str">
        <f aca="false">IFERROR(INDEX(土日!$C$2:$C$28,MATCH(A3,土日!$A$2:$A$28,0)),"")</f>
        <v/>
      </c>
    </row>
    <row r="4" customFormat="false" ht="15" hidden="false" customHeight="false" outlineLevel="0" collapsed="false">
      <c r="A4" s="30" t="n">
        <v>46196</v>
      </c>
      <c r="B4" s="31" t="n">
        <f aca="false">IFERROR(INDEX(平日!$C$2:$C$71,MATCH(A4,平日!$A$2:$A$71,0)),"")</f>
        <v>377840</v>
      </c>
      <c r="C4" s="31" t="str">
        <f aca="false">IFERROR(INDEX(土日!$C$2:$C$28,MATCH(A4,土日!$A$2:$A$28,0)),"")</f>
        <v/>
      </c>
    </row>
    <row r="5" customFormat="false" ht="15" hidden="false" customHeight="false" outlineLevel="0" collapsed="false">
      <c r="A5" s="30" t="n">
        <v>46197</v>
      </c>
      <c r="B5" s="31" t="n">
        <f aca="false">IFERROR(INDEX(平日!$C$2:$C$71,MATCH(A5,平日!$A$2:$A$71,0)),"")</f>
        <v>428620</v>
      </c>
      <c r="C5" s="31" t="str">
        <f aca="false">IFERROR(INDEX(土日!$C$2:$C$28,MATCH(A5,土日!$A$2:$A$28,0)),"")</f>
        <v/>
      </c>
    </row>
    <row r="6" customFormat="false" ht="15" hidden="false" customHeight="false" outlineLevel="0" collapsed="false">
      <c r="A6" s="30" t="n">
        <v>46198</v>
      </c>
      <c r="B6" s="31" t="n">
        <f aca="false">IFERROR(INDEX(平日!$C$2:$C$71,MATCH(A6,平日!$A$2:$A$71,0)),"")</f>
        <v>374210</v>
      </c>
      <c r="C6" s="31" t="str">
        <f aca="false">IFERROR(INDEX(土日!$C$2:$C$28,MATCH(A6,土日!$A$2:$A$28,0)),"")</f>
        <v/>
      </c>
    </row>
    <row r="7" customFormat="false" ht="15" hidden="false" customHeight="false" outlineLevel="0" collapsed="false">
      <c r="A7" s="30" t="n">
        <v>46199</v>
      </c>
      <c r="B7" s="31" t="n">
        <f aca="false">IFERROR(INDEX(平日!$C$2:$C$71,MATCH(A7,平日!$A$2:$A$71,0)),"")</f>
        <v>459300</v>
      </c>
      <c r="C7" s="31" t="str">
        <f aca="false">IFERROR(INDEX(土日!$C$2:$C$28,MATCH(A7,土日!$A$2:$A$28,0)),"")</f>
        <v/>
      </c>
    </row>
    <row r="8" customFormat="false" ht="15" hidden="false" customHeight="false" outlineLevel="0" collapsed="false">
      <c r="A8" s="30" t="n">
        <v>46200</v>
      </c>
      <c r="B8" s="31" t="str">
        <f aca="false">IFERROR(INDEX(平日!$C$2:$C$71,MATCH(A8,平日!$A$2:$A$71,0)),"")</f>
        <v/>
      </c>
      <c r="C8" s="31" t="n">
        <f aca="false">IFERROR(INDEX(土日!$C$2:$C$28,MATCH(A8,土日!$A$2:$A$28,0)),"")</f>
        <v>716170</v>
      </c>
    </row>
    <row r="9" customFormat="false" ht="15" hidden="false" customHeight="false" outlineLevel="0" collapsed="false">
      <c r="A9" s="30" t="n">
        <v>46201</v>
      </c>
      <c r="B9" s="31" t="str">
        <f aca="false">IFERROR(INDEX(平日!$C$2:$C$71,MATCH(A9,平日!$A$2:$A$71,0)),"")</f>
        <v/>
      </c>
      <c r="C9" s="31" t="n">
        <f aca="false">IFERROR(INDEX(土日!$C$2:$C$28,MATCH(A9,土日!$A$2:$A$28,0)),"")</f>
        <v>707360</v>
      </c>
    </row>
    <row r="10" customFormat="false" ht="15" hidden="false" customHeight="false" outlineLevel="0" collapsed="false">
      <c r="A10" s="30" t="n">
        <v>46202</v>
      </c>
      <c r="B10" s="31" t="n">
        <f aca="false">IFERROR(INDEX(平日!$C$2:$C$71,MATCH(A10,平日!$A$2:$A$71,0)),"")</f>
        <v>335720</v>
      </c>
      <c r="C10" s="31" t="str">
        <f aca="false">IFERROR(INDEX(土日!$C$2:$C$28,MATCH(A10,土日!$A$2:$A$28,0)),"")</f>
        <v/>
      </c>
    </row>
    <row r="11" customFormat="false" ht="15" hidden="false" customHeight="false" outlineLevel="0" collapsed="false">
      <c r="A11" s="30" t="n">
        <v>46203</v>
      </c>
      <c r="B11" s="31" t="n">
        <f aca="false">IFERROR(INDEX(平日!$C$2:$C$71,MATCH(A11,平日!$A$2:$A$71,0)),"")</f>
        <v>304420</v>
      </c>
      <c r="C11" s="31" t="str">
        <f aca="false">IFERROR(INDEX(土日!$C$2:$C$28,MATCH(A11,土日!$A$2:$A$28,0)),"")</f>
        <v/>
      </c>
    </row>
    <row r="12" customFormat="false" ht="15" hidden="false" customHeight="false" outlineLevel="0" collapsed="false">
      <c r="A12" s="30" t="n">
        <v>46204</v>
      </c>
      <c r="B12" s="31" t="n">
        <f aca="false">IFERROR(INDEX(平日!$C$2:$C$71,MATCH(A12,平日!$A$2:$A$71,0)),"")</f>
        <v>454040</v>
      </c>
      <c r="C12" s="31" t="str">
        <f aca="false">IFERROR(INDEX(土日!$C$2:$C$28,MATCH(A12,土日!$A$2:$A$28,0)),"")</f>
        <v/>
      </c>
    </row>
    <row r="13" customFormat="false" ht="15" hidden="false" customHeight="false" outlineLevel="0" collapsed="false">
      <c r="A13" s="30" t="n">
        <v>46205</v>
      </c>
      <c r="B13" s="31" t="n">
        <f aca="false">IFERROR(INDEX(平日!$C$2:$C$71,MATCH(A13,平日!$A$2:$A$71,0)),"")</f>
        <v>421760</v>
      </c>
      <c r="C13" s="31" t="str">
        <f aca="false">IFERROR(INDEX(土日!$C$2:$C$28,MATCH(A13,土日!$A$2:$A$28,0)),"")</f>
        <v/>
      </c>
    </row>
    <row r="14" customFormat="false" ht="15" hidden="false" customHeight="false" outlineLevel="0" collapsed="false">
      <c r="A14" s="30" t="n">
        <v>46206</v>
      </c>
      <c r="B14" s="31" t="n">
        <f aca="false">IFERROR(INDEX(平日!$C$2:$C$71,MATCH(A14,平日!$A$2:$A$71,0)),"")</f>
        <v>526640</v>
      </c>
      <c r="C14" s="31" t="str">
        <f aca="false">IFERROR(INDEX(土日!$C$2:$C$28,MATCH(A14,土日!$A$2:$A$28,0)),"")</f>
        <v/>
      </c>
    </row>
    <row r="15" customFormat="false" ht="15" hidden="false" customHeight="false" outlineLevel="0" collapsed="false">
      <c r="A15" s="30" t="n">
        <v>46207</v>
      </c>
      <c r="B15" s="31" t="str">
        <f aca="false">IFERROR(INDEX(平日!$C$2:$C$71,MATCH(A15,平日!$A$2:$A$71,0)),"")</f>
        <v/>
      </c>
      <c r="C15" s="31" t="n">
        <f aca="false">IFERROR(INDEX(土日!$C$2:$C$28,MATCH(A15,土日!$A$2:$A$28,0)),"")</f>
        <v>833600</v>
      </c>
    </row>
    <row r="16" customFormat="false" ht="15" hidden="false" customHeight="false" outlineLevel="0" collapsed="false">
      <c r="A16" s="30" t="n">
        <v>46208</v>
      </c>
      <c r="B16" s="31" t="str">
        <f aca="false">IFERROR(INDEX(平日!$C$2:$C$71,MATCH(A16,平日!$A$2:$A$71,0)),"")</f>
        <v/>
      </c>
      <c r="C16" s="31" t="n">
        <f aca="false">IFERROR(INDEX(土日!$C$2:$C$28,MATCH(A16,土日!$A$2:$A$28,0)),"")</f>
        <v>717490</v>
      </c>
    </row>
    <row r="17" customFormat="false" ht="15" hidden="false" customHeight="false" outlineLevel="0" collapsed="false">
      <c r="A17" s="30" t="n">
        <v>46209</v>
      </c>
      <c r="B17" s="31" t="n">
        <f aca="false">IFERROR(INDEX(平日!$C$2:$C$71,MATCH(A17,平日!$A$2:$A$71,0)),"")</f>
        <v>294280</v>
      </c>
      <c r="C17" s="31" t="str">
        <f aca="false">IFERROR(INDEX(土日!$C$2:$C$28,MATCH(A17,土日!$A$2:$A$28,0)),"")</f>
        <v/>
      </c>
    </row>
    <row r="18" customFormat="false" ht="15" hidden="false" customHeight="false" outlineLevel="0" collapsed="false">
      <c r="A18" s="30" t="n">
        <v>46210</v>
      </c>
      <c r="B18" s="31" t="n">
        <f aca="false">IFERROR(INDEX(平日!$C$2:$C$71,MATCH(A18,平日!$A$2:$A$71,0)),"")</f>
        <v>332760</v>
      </c>
      <c r="C18" s="31" t="str">
        <f aca="false">IFERROR(INDEX(土日!$C$2:$C$28,MATCH(A18,土日!$A$2:$A$28,0)),"")</f>
        <v/>
      </c>
    </row>
    <row r="19" customFormat="false" ht="15" hidden="false" customHeight="false" outlineLevel="0" collapsed="false">
      <c r="A19" s="30" t="n">
        <v>46211</v>
      </c>
      <c r="B19" s="31" t="n">
        <f aca="false">IFERROR(INDEX(平日!$C$2:$C$71,MATCH(A19,平日!$A$2:$A$71,0)),"")</f>
        <v>375800</v>
      </c>
      <c r="C19" s="31" t="str">
        <f aca="false">IFERROR(INDEX(土日!$C$2:$C$28,MATCH(A19,土日!$A$2:$A$28,0)),"")</f>
        <v/>
      </c>
    </row>
    <row r="20" customFormat="false" ht="15" hidden="false" customHeight="false" outlineLevel="0" collapsed="false">
      <c r="A20" s="30" t="n">
        <v>46212</v>
      </c>
      <c r="B20" s="31" t="n">
        <f aca="false">IFERROR(INDEX(平日!$C$2:$C$71,MATCH(A20,平日!$A$2:$A$71,0)),"")</f>
        <v>425290</v>
      </c>
      <c r="C20" s="31" t="str">
        <f aca="false">IFERROR(INDEX(土日!$C$2:$C$28,MATCH(A20,土日!$A$2:$A$28,0)),"")</f>
        <v/>
      </c>
    </row>
    <row r="21" customFormat="false" ht="15" hidden="false" customHeight="false" outlineLevel="0" collapsed="false">
      <c r="A21" s="30" t="n">
        <v>46213</v>
      </c>
      <c r="B21" s="31" t="n">
        <f aca="false">IFERROR(INDEX(平日!$C$2:$C$71,MATCH(A21,平日!$A$2:$A$71,0)),"")</f>
        <v>474820</v>
      </c>
      <c r="C21" s="31" t="str">
        <f aca="false">IFERROR(INDEX(土日!$C$2:$C$28,MATCH(A21,土日!$A$2:$A$28,0)),"")</f>
        <v/>
      </c>
    </row>
    <row r="22" customFormat="false" ht="15" hidden="false" customHeight="false" outlineLevel="0" collapsed="false">
      <c r="A22" s="30" t="n">
        <v>46214</v>
      </c>
      <c r="B22" s="31" t="str">
        <f aca="false">IFERROR(INDEX(平日!$C$2:$C$71,MATCH(A22,平日!$A$2:$A$71,0)),"")</f>
        <v/>
      </c>
      <c r="C22" s="31" t="n">
        <f aca="false">IFERROR(INDEX(土日!$C$2:$C$28,MATCH(A22,土日!$A$2:$A$28,0)),"")</f>
        <v>773400</v>
      </c>
    </row>
    <row r="23" customFormat="false" ht="15" hidden="false" customHeight="false" outlineLevel="0" collapsed="false">
      <c r="A23" s="30" t="n">
        <v>46215</v>
      </c>
      <c r="B23" s="31" t="str">
        <f aca="false">IFERROR(INDEX(平日!$C$2:$C$71,MATCH(A23,平日!$A$2:$A$71,0)),"")</f>
        <v/>
      </c>
      <c r="C23" s="31" t="n">
        <f aca="false">IFERROR(INDEX(土日!$C$2:$C$28,MATCH(A23,土日!$A$2:$A$28,0)),"")</f>
        <v>786550</v>
      </c>
    </row>
    <row r="24" customFormat="false" ht="15" hidden="false" customHeight="false" outlineLevel="0" collapsed="false">
      <c r="A24" s="30" t="n">
        <v>46216</v>
      </c>
      <c r="B24" s="31" t="n">
        <f aca="false">IFERROR(INDEX(平日!$C$2:$C$71,MATCH(A24,平日!$A$2:$A$71,0)),"")</f>
        <v>372650</v>
      </c>
      <c r="C24" s="31" t="str">
        <f aca="false">IFERROR(INDEX(土日!$C$2:$C$28,MATCH(A24,土日!$A$2:$A$28,0)),"")</f>
        <v/>
      </c>
    </row>
    <row r="25" customFormat="false" ht="15" hidden="false" customHeight="false" outlineLevel="0" collapsed="false">
      <c r="A25" s="30" t="n">
        <v>46217</v>
      </c>
      <c r="B25" s="31" t="n">
        <f aca="false">IFERROR(INDEX(平日!$C$2:$C$71,MATCH(A25,平日!$A$2:$A$71,0)),"")</f>
        <v>289840</v>
      </c>
      <c r="C25" s="31" t="str">
        <f aca="false">IFERROR(INDEX(土日!$C$2:$C$28,MATCH(A25,土日!$A$2:$A$28,0)),"")</f>
        <v/>
      </c>
    </row>
    <row r="26" customFormat="false" ht="15" hidden="false" customHeight="false" outlineLevel="0" collapsed="false">
      <c r="A26" s="30" t="n">
        <v>46218</v>
      </c>
      <c r="B26" s="31" t="n">
        <f aca="false">IFERROR(INDEX(平日!$C$2:$C$71,MATCH(A26,平日!$A$2:$A$71,0)),"")</f>
        <v>418780</v>
      </c>
      <c r="C26" s="31" t="str">
        <f aca="false">IFERROR(INDEX(土日!$C$2:$C$28,MATCH(A26,土日!$A$2:$A$28,0)),"")</f>
        <v/>
      </c>
    </row>
    <row r="27" customFormat="false" ht="15" hidden="false" customHeight="false" outlineLevel="0" collapsed="false">
      <c r="A27" s="30" t="n">
        <v>46219</v>
      </c>
      <c r="B27" s="31" t="n">
        <f aca="false">IFERROR(INDEX(平日!$C$2:$C$71,MATCH(A27,平日!$A$2:$A$71,0)),"")</f>
        <v>459900</v>
      </c>
      <c r="C27" s="31" t="str">
        <f aca="false">IFERROR(INDEX(土日!$C$2:$C$28,MATCH(A27,土日!$A$2:$A$28,0)),"")</f>
        <v/>
      </c>
    </row>
    <row r="28" customFormat="false" ht="15" hidden="false" customHeight="false" outlineLevel="0" collapsed="false">
      <c r="A28" s="30" t="n">
        <v>46220</v>
      </c>
      <c r="B28" s="31" t="n">
        <f aca="false">IFERROR(INDEX(平日!$C$2:$C$71,MATCH(A28,平日!$A$2:$A$71,0)),"")</f>
        <v>493180</v>
      </c>
      <c r="C28" s="31" t="str">
        <f aca="false">IFERROR(INDEX(土日!$C$2:$C$28,MATCH(A28,土日!$A$2:$A$28,0)),"")</f>
        <v/>
      </c>
    </row>
    <row r="29" customFormat="false" ht="15" hidden="false" customHeight="false" outlineLevel="0" collapsed="false">
      <c r="A29" s="30" t="n">
        <v>46221</v>
      </c>
      <c r="B29" s="31" t="str">
        <f aca="false">IFERROR(INDEX(平日!$C$2:$C$71,MATCH(A29,平日!$A$2:$A$71,0)),"")</f>
        <v/>
      </c>
      <c r="C29" s="31" t="n">
        <f aca="false">IFERROR(INDEX(土日!$C$2:$C$28,MATCH(A29,土日!$A$2:$A$28,0)),"")</f>
        <v>652640</v>
      </c>
    </row>
    <row r="30" customFormat="false" ht="15" hidden="false" customHeight="false" outlineLevel="0" collapsed="false">
      <c r="A30" s="30" t="n">
        <v>46222</v>
      </c>
      <c r="B30" s="31" t="str">
        <f aca="false">IFERROR(INDEX(平日!$C$2:$C$71,MATCH(A30,平日!$A$2:$A$71,0)),"")</f>
        <v/>
      </c>
      <c r="C30" s="31" t="n">
        <f aca="false">IFERROR(INDEX(土日!$C$2:$C$28,MATCH(A30,土日!$A$2:$A$28,0)),"")</f>
        <v>737850</v>
      </c>
    </row>
    <row r="31" customFormat="false" ht="15" hidden="false" customHeight="false" outlineLevel="0" collapsed="false">
      <c r="A31" s="30" t="n">
        <v>46223</v>
      </c>
      <c r="B31" s="31" t="n">
        <f aca="false">IFERROR(INDEX(平日!$C$2:$C$71,MATCH(A31,平日!$A$2:$A$71,0)),"")</f>
        <v>597070</v>
      </c>
      <c r="C31" s="31" t="str">
        <f aca="false">IFERROR(INDEX(土日!$C$2:$C$28,MATCH(A31,土日!$A$2:$A$28,0)),"")</f>
        <v/>
      </c>
    </row>
    <row r="32" customFormat="false" ht="15" hidden="false" customHeight="false" outlineLevel="0" collapsed="false">
      <c r="A32" s="30" t="n">
        <v>46228</v>
      </c>
      <c r="B32" s="31" t="str">
        <f aca="false">IFERROR(INDEX(平日!$C$2:$C$71,MATCH(A32,平日!$A$2:$A$71,0)),"")</f>
        <v/>
      </c>
      <c r="C32" s="31" t="n">
        <f aca="false">IFERROR(INDEX(土日!$C$2:$C$28,MATCH(A32,土日!$A$2:$A$28,0)),"")</f>
        <v>615300</v>
      </c>
    </row>
    <row r="33" customFormat="false" ht="15" hidden="false" customHeight="false" outlineLevel="0" collapsed="false">
      <c r="A33" s="30" t="n">
        <v>46229</v>
      </c>
      <c r="B33" s="31" t="str">
        <f aca="false">IFERROR(INDEX(平日!$C$2:$C$71,MATCH(A33,平日!$A$2:$A$71,0)),"")</f>
        <v/>
      </c>
      <c r="C33" s="31" t="n">
        <f aca="false">IFERROR(INDEX(土日!$C$2:$C$28,MATCH(A33,土日!$A$2:$A$28,0)),"")</f>
        <v>695890</v>
      </c>
    </row>
    <row r="34" customFormat="false" ht="15" hidden="false" customHeight="false" outlineLevel="0" collapsed="false">
      <c r="A34" s="30" t="n">
        <v>46230</v>
      </c>
      <c r="B34" s="31" t="n">
        <f aca="false">IFERROR(INDEX(平日!$C$2:$C$71,MATCH(A34,平日!$A$2:$A$71,0)),"")</f>
        <v>395610</v>
      </c>
      <c r="C34" s="31" t="str">
        <f aca="false">IFERROR(INDEX(土日!$C$2:$C$28,MATCH(A34,土日!$A$2:$A$28,0)),"")</f>
        <v/>
      </c>
    </row>
    <row r="35" customFormat="false" ht="15" hidden="false" customHeight="false" outlineLevel="0" collapsed="false">
      <c r="A35" s="30" t="n">
        <v>46231</v>
      </c>
      <c r="B35" s="31" t="n">
        <f aca="false">IFERROR(INDEX(平日!$C$2:$C$71,MATCH(A35,平日!$A$2:$A$71,0)),"")</f>
        <v>357540</v>
      </c>
      <c r="C35" s="31" t="str">
        <f aca="false">IFERROR(INDEX(土日!$C$2:$C$28,MATCH(A35,土日!$A$2:$A$28,0)),"")</f>
        <v/>
      </c>
    </row>
    <row r="36" customFormat="false" ht="15" hidden="false" customHeight="false" outlineLevel="0" collapsed="false">
      <c r="A36" s="30" t="n">
        <v>46232</v>
      </c>
      <c r="B36" s="31" t="n">
        <f aca="false">IFERROR(INDEX(平日!$C$2:$C$71,MATCH(A36,平日!$A$2:$A$71,0)),"")</f>
        <v>383270</v>
      </c>
      <c r="C36" s="31" t="str">
        <f aca="false">IFERROR(INDEX(土日!$C$2:$C$28,MATCH(A36,土日!$A$2:$A$28,0)),"")</f>
        <v/>
      </c>
    </row>
    <row r="37" customFormat="false" ht="15" hidden="false" customHeight="false" outlineLevel="0" collapsed="false">
      <c r="A37" s="30" t="n">
        <v>46233</v>
      </c>
      <c r="B37" s="31" t="n">
        <f aca="false">IFERROR(INDEX(平日!$C$2:$C$71,MATCH(A37,平日!$A$2:$A$71,0)),"")</f>
        <v>397380</v>
      </c>
      <c r="C37" s="31" t="str">
        <f aca="false">IFERROR(INDEX(土日!$C$2:$C$28,MATCH(A37,土日!$A$2:$A$28,0)),"")</f>
        <v/>
      </c>
    </row>
    <row r="38" customFormat="false" ht="15" hidden="false" customHeight="false" outlineLevel="0" collapsed="false">
      <c r="A38" s="30" t="n">
        <v>46234</v>
      </c>
      <c r="B38" s="31" t="n">
        <f aca="false">IFERROR(INDEX(平日!$C$2:$C$71,MATCH(A38,平日!$A$2:$A$71,0)),"")</f>
        <v>533650</v>
      </c>
      <c r="C38" s="31" t="str">
        <f aca="false">IFERROR(INDEX(土日!$C$2:$C$28,MATCH(A38,土日!$A$2:$A$28,0)),"")</f>
        <v/>
      </c>
    </row>
    <row r="39" customFormat="false" ht="15" hidden="false" customHeight="false" outlineLevel="0" collapsed="false">
      <c r="A39" s="30" t="n">
        <v>46235</v>
      </c>
      <c r="B39" s="31" t="str">
        <f aca="false">IFERROR(INDEX(平日!$C$2:$C$71,MATCH(A39,平日!$A$2:$A$71,0)),"")</f>
        <v/>
      </c>
      <c r="C39" s="31" t="n">
        <f aca="false">IFERROR(INDEX(土日!$C$2:$C$28,MATCH(A39,土日!$A$2:$A$28,0)),"")</f>
        <v>664790</v>
      </c>
    </row>
    <row r="40" customFormat="false" ht="15" hidden="false" customHeight="false" outlineLevel="0" collapsed="false">
      <c r="A40" s="30" t="n">
        <v>46236</v>
      </c>
      <c r="B40" s="31" t="str">
        <f aca="false">IFERROR(INDEX(平日!$C$2:$C$71,MATCH(A40,平日!$A$2:$A$71,0)),"")</f>
        <v/>
      </c>
      <c r="C40" s="31" t="n">
        <f aca="false">IFERROR(INDEX(土日!$C$2:$C$28,MATCH(A40,土日!$A$2:$A$28,0)),"")</f>
        <v>711580</v>
      </c>
    </row>
    <row r="41" customFormat="false" ht="15" hidden="false" customHeight="false" outlineLevel="0" collapsed="false">
      <c r="A41" s="30" t="n">
        <v>46237</v>
      </c>
      <c r="B41" s="31" t="n">
        <f aca="false">IFERROR(INDEX(平日!$C$2:$C$71,MATCH(A41,平日!$A$2:$A$71,0)),"")</f>
        <v>363910</v>
      </c>
      <c r="C41" s="31" t="str">
        <f aca="false">IFERROR(INDEX(土日!$C$2:$C$28,MATCH(A41,土日!$A$2:$A$28,0)),"")</f>
        <v/>
      </c>
    </row>
    <row r="42" customFormat="false" ht="15" hidden="false" customHeight="false" outlineLevel="0" collapsed="false">
      <c r="A42" s="30" t="n">
        <v>46238</v>
      </c>
      <c r="B42" s="31" t="n">
        <f aca="false">IFERROR(INDEX(平日!$C$2:$C$71,MATCH(A42,平日!$A$2:$A$71,0)),"")</f>
        <v>360990</v>
      </c>
      <c r="C42" s="31" t="str">
        <f aca="false">IFERROR(INDEX(土日!$C$2:$C$28,MATCH(A42,土日!$A$2:$A$28,0)),"")</f>
        <v/>
      </c>
    </row>
    <row r="43" customFormat="false" ht="15" hidden="false" customHeight="false" outlineLevel="0" collapsed="false">
      <c r="A43" s="30" t="n">
        <v>46239</v>
      </c>
      <c r="B43" s="31" t="n">
        <f aca="false">IFERROR(INDEX(平日!$C$2:$C$71,MATCH(A43,平日!$A$2:$A$71,0)),"")</f>
        <v>383160</v>
      </c>
      <c r="C43" s="31" t="str">
        <f aca="false">IFERROR(INDEX(土日!$C$2:$C$28,MATCH(A43,土日!$A$2:$A$28,0)),"")</f>
        <v/>
      </c>
    </row>
    <row r="44" customFormat="false" ht="15" hidden="false" customHeight="false" outlineLevel="0" collapsed="false">
      <c r="A44" s="30" t="n">
        <v>46240</v>
      </c>
      <c r="B44" s="31" t="n">
        <f aca="false">IFERROR(INDEX(平日!$C$2:$C$71,MATCH(A44,平日!$A$2:$A$71,0)),"")</f>
        <v>388830</v>
      </c>
      <c r="C44" s="31" t="str">
        <f aca="false">IFERROR(INDEX(土日!$C$2:$C$28,MATCH(A44,土日!$A$2:$A$28,0)),"")</f>
        <v/>
      </c>
    </row>
    <row r="45" customFormat="false" ht="15" hidden="false" customHeight="false" outlineLevel="0" collapsed="false">
      <c r="A45" s="30" t="n">
        <v>46241</v>
      </c>
      <c r="B45" s="31" t="n">
        <f aca="false">IFERROR(INDEX(平日!$C$2:$C$71,MATCH(A45,平日!$A$2:$A$71,0)),"")</f>
        <v>449020</v>
      </c>
      <c r="C45" s="31" t="str">
        <f aca="false">IFERROR(INDEX(土日!$C$2:$C$28,MATCH(A45,土日!$A$2:$A$28,0)),"")</f>
        <v/>
      </c>
    </row>
    <row r="46" customFormat="false" ht="15" hidden="false" customHeight="false" outlineLevel="0" collapsed="false">
      <c r="A46" s="30" t="n">
        <v>46258</v>
      </c>
      <c r="B46" s="31" t="n">
        <f aca="false">IFERROR(INDEX(平日!$C$2:$C$71,MATCH(A46,平日!$A$2:$A$71,0)),"")</f>
        <v>268730</v>
      </c>
      <c r="C46" s="31" t="str">
        <f aca="false">IFERROR(INDEX(土日!$C$2:$C$28,MATCH(A46,土日!$A$2:$A$28,0)),"")</f>
        <v/>
      </c>
    </row>
    <row r="47" customFormat="false" ht="15" hidden="false" customHeight="false" outlineLevel="0" collapsed="false">
      <c r="A47" s="30" t="n">
        <v>46259</v>
      </c>
      <c r="B47" s="31" t="n">
        <f aca="false">IFERROR(INDEX(平日!$C$2:$C$71,MATCH(A47,平日!$A$2:$A$71,0)),"")</f>
        <v>256280</v>
      </c>
      <c r="C47" s="31" t="str">
        <f aca="false">IFERROR(INDEX(土日!$C$2:$C$28,MATCH(A47,土日!$A$2:$A$28,0)),"")</f>
        <v/>
      </c>
    </row>
    <row r="48" customFormat="false" ht="15" hidden="false" customHeight="false" outlineLevel="0" collapsed="false">
      <c r="A48" s="30" t="n">
        <v>46260</v>
      </c>
      <c r="B48" s="31" t="n">
        <f aca="false">IFERROR(INDEX(平日!$C$2:$C$71,MATCH(A48,平日!$A$2:$A$71,0)),"")</f>
        <v>351140</v>
      </c>
      <c r="C48" s="31" t="str">
        <f aca="false">IFERROR(INDEX(土日!$C$2:$C$28,MATCH(A48,土日!$A$2:$A$28,0)),"")</f>
        <v/>
      </c>
    </row>
    <row r="49" customFormat="false" ht="15" hidden="false" customHeight="false" outlineLevel="0" collapsed="false">
      <c r="A49" s="30" t="n">
        <v>46261</v>
      </c>
      <c r="B49" s="31" t="n">
        <f aca="false">IFERROR(INDEX(平日!$C$2:$C$71,MATCH(A49,平日!$A$2:$A$71,0)),"")</f>
        <v>299580</v>
      </c>
      <c r="C49" s="31" t="str">
        <f aca="false">IFERROR(INDEX(土日!$C$2:$C$28,MATCH(A49,土日!$A$2:$A$28,0)),"")</f>
        <v/>
      </c>
    </row>
    <row r="50" customFormat="false" ht="15" hidden="false" customHeight="false" outlineLevel="0" collapsed="false">
      <c r="A50" s="30" t="n">
        <v>46262</v>
      </c>
      <c r="B50" s="31" t="n">
        <f aca="false">IFERROR(INDEX(平日!$C$2:$C$71,MATCH(A50,平日!$A$2:$A$71,0)),"")</f>
        <v>362970</v>
      </c>
      <c r="C50" s="31" t="str">
        <f aca="false">IFERROR(INDEX(土日!$C$2:$C$28,MATCH(A50,土日!$A$2:$A$28,0)),"")</f>
        <v/>
      </c>
    </row>
    <row r="51" customFormat="false" ht="15" hidden="false" customHeight="false" outlineLevel="0" collapsed="false">
      <c r="A51" s="30" t="n">
        <v>46263</v>
      </c>
      <c r="B51" s="31" t="str">
        <f aca="false">IFERROR(INDEX(平日!$C$2:$C$71,MATCH(A51,平日!$A$2:$A$71,0)),"")</f>
        <v/>
      </c>
      <c r="C51" s="31" t="n">
        <f aca="false">IFERROR(INDEX(土日!$C$2:$C$28,MATCH(A51,土日!$A$2:$A$28,0)),"")</f>
        <v>554810</v>
      </c>
    </row>
    <row r="52" customFormat="false" ht="15" hidden="false" customHeight="false" outlineLevel="0" collapsed="false">
      <c r="A52" s="30" t="n">
        <v>46264</v>
      </c>
      <c r="B52" s="31" t="str">
        <f aca="false">IFERROR(INDEX(平日!$C$2:$C$71,MATCH(A52,平日!$A$2:$A$71,0)),"")</f>
        <v/>
      </c>
      <c r="C52" s="31" t="n">
        <f aca="false">IFERROR(INDEX(土日!$C$2:$C$28,MATCH(A52,土日!$A$2:$A$28,0)),"")</f>
        <v>477270</v>
      </c>
    </row>
    <row r="53" customFormat="false" ht="15" hidden="false" customHeight="false" outlineLevel="0" collapsed="false">
      <c r="A53" s="30" t="n">
        <v>46265</v>
      </c>
      <c r="B53" s="31" t="n">
        <f aca="false">IFERROR(INDEX(平日!$C$2:$C$71,MATCH(A53,平日!$A$2:$A$71,0)),"")</f>
        <v>219670</v>
      </c>
      <c r="C53" s="31" t="str">
        <f aca="false">IFERROR(INDEX(土日!$C$2:$C$28,MATCH(A53,土日!$A$2:$A$28,0)),"")</f>
        <v/>
      </c>
    </row>
    <row r="54" customFormat="false" ht="15" hidden="false" customHeight="false" outlineLevel="0" collapsed="false">
      <c r="A54" s="30" t="n">
        <v>46266</v>
      </c>
      <c r="B54" s="31" t="n">
        <f aca="false">IFERROR(INDEX(平日!$C$2:$C$71,MATCH(A54,平日!$A$2:$A$71,0)),"")</f>
        <v>228460</v>
      </c>
      <c r="C54" s="31" t="str">
        <f aca="false">IFERROR(INDEX(土日!$C$2:$C$28,MATCH(A54,土日!$A$2:$A$28,0)),"")</f>
        <v/>
      </c>
    </row>
    <row r="55" customFormat="false" ht="15" hidden="false" customHeight="false" outlineLevel="0" collapsed="false">
      <c r="A55" s="30" t="n">
        <v>46267</v>
      </c>
      <c r="B55" s="31" t="n">
        <f aca="false">IFERROR(INDEX(平日!$C$2:$C$71,MATCH(A55,平日!$A$2:$A$71,0)),"")</f>
        <v>214940</v>
      </c>
      <c r="C55" s="31" t="str">
        <f aca="false">IFERROR(INDEX(土日!$C$2:$C$28,MATCH(A55,土日!$A$2:$A$28,0)),"")</f>
        <v/>
      </c>
    </row>
    <row r="56" customFormat="false" ht="15" hidden="false" customHeight="false" outlineLevel="0" collapsed="false">
      <c r="A56" s="30" t="n">
        <v>46268</v>
      </c>
      <c r="B56" s="31" t="n">
        <f aca="false">IFERROR(INDEX(平日!$C$2:$C$71,MATCH(A56,平日!$A$2:$A$71,0)),"")</f>
        <v>263030</v>
      </c>
      <c r="C56" s="31" t="str">
        <f aca="false">IFERROR(INDEX(土日!$C$2:$C$28,MATCH(A56,土日!$A$2:$A$28,0)),"")</f>
        <v/>
      </c>
    </row>
    <row r="57" customFormat="false" ht="15" hidden="false" customHeight="false" outlineLevel="0" collapsed="false">
      <c r="A57" s="30" t="n">
        <v>46269</v>
      </c>
      <c r="B57" s="31" t="n">
        <f aca="false">IFERROR(INDEX(平日!$C$2:$C$71,MATCH(A57,平日!$A$2:$A$71,0)),"")</f>
        <v>212930</v>
      </c>
      <c r="C57" s="31" t="str">
        <f aca="false">IFERROR(INDEX(土日!$C$2:$C$28,MATCH(A57,土日!$A$2:$A$28,0)),"")</f>
        <v/>
      </c>
    </row>
    <row r="58" customFormat="false" ht="15" hidden="false" customHeight="false" outlineLevel="0" collapsed="false">
      <c r="A58" s="30" t="n">
        <v>46270</v>
      </c>
      <c r="B58" s="31" t="str">
        <f aca="false">IFERROR(INDEX(平日!$C$2:$C$71,MATCH(A58,平日!$A$2:$A$71,0)),"")</f>
        <v/>
      </c>
      <c r="C58" s="31" t="n">
        <f aca="false">IFERROR(INDEX(土日!$C$2:$C$28,MATCH(A58,土日!$A$2:$A$28,0)),"")</f>
        <v>573870</v>
      </c>
    </row>
    <row r="59" customFormat="false" ht="15" hidden="false" customHeight="false" outlineLevel="0" collapsed="false">
      <c r="A59" s="30" t="n">
        <v>46271</v>
      </c>
      <c r="B59" s="31" t="str">
        <f aca="false">IFERROR(INDEX(平日!$C$2:$C$71,MATCH(A59,平日!$A$2:$A$71,0)),"")</f>
        <v/>
      </c>
      <c r="C59" s="31" t="n">
        <f aca="false">IFERROR(INDEX(土日!$C$2:$C$28,MATCH(A59,土日!$A$2:$A$28,0)),"")</f>
        <v>543590</v>
      </c>
    </row>
    <row r="60" customFormat="false" ht="15" hidden="false" customHeight="false" outlineLevel="0" collapsed="false">
      <c r="A60" s="30" t="n">
        <v>46272</v>
      </c>
      <c r="B60" s="31" t="n">
        <f aca="false">IFERROR(INDEX(平日!$C$2:$C$71,MATCH(A60,平日!$A$2:$A$71,0)),"")</f>
        <v>207730</v>
      </c>
      <c r="C60" s="31" t="str">
        <f aca="false">IFERROR(INDEX(土日!$C$2:$C$28,MATCH(A60,土日!$A$2:$A$28,0)),"")</f>
        <v/>
      </c>
    </row>
    <row r="61" customFormat="false" ht="15" hidden="false" customHeight="false" outlineLevel="0" collapsed="false">
      <c r="A61" s="30" t="n">
        <v>46273</v>
      </c>
      <c r="B61" s="31" t="n">
        <f aca="false">IFERROR(INDEX(平日!$C$2:$C$71,MATCH(A61,平日!$A$2:$A$71,0)),"")</f>
        <v>335170</v>
      </c>
      <c r="C61" s="31" t="str">
        <f aca="false">IFERROR(INDEX(土日!$C$2:$C$28,MATCH(A61,土日!$A$2:$A$28,0)),"")</f>
        <v/>
      </c>
    </row>
    <row r="62" customFormat="false" ht="15" hidden="false" customHeight="false" outlineLevel="0" collapsed="false">
      <c r="A62" s="30" t="n">
        <v>46274</v>
      </c>
      <c r="B62" s="31" t="n">
        <f aca="false">IFERROR(INDEX(平日!$C$2:$C$71,MATCH(A62,平日!$A$2:$A$71,0)),"")</f>
        <v>212760</v>
      </c>
      <c r="C62" s="31" t="str">
        <f aca="false">IFERROR(INDEX(土日!$C$2:$C$28,MATCH(A62,土日!$A$2:$A$28,0)),"")</f>
        <v/>
      </c>
    </row>
    <row r="63" customFormat="false" ht="15" hidden="false" customHeight="false" outlineLevel="0" collapsed="false">
      <c r="A63" s="30" t="n">
        <v>46275</v>
      </c>
      <c r="B63" s="31" t="n">
        <f aca="false">IFERROR(INDEX(平日!$C$2:$C$71,MATCH(A63,平日!$A$2:$A$71,0)),"")</f>
        <v>294500</v>
      </c>
      <c r="C63" s="31" t="str">
        <f aca="false">IFERROR(INDEX(土日!$C$2:$C$28,MATCH(A63,土日!$A$2:$A$28,0)),"")</f>
        <v/>
      </c>
    </row>
    <row r="64" customFormat="false" ht="15" hidden="false" customHeight="false" outlineLevel="0" collapsed="false">
      <c r="A64" s="30" t="n">
        <v>46276</v>
      </c>
      <c r="B64" s="31" t="n">
        <f aca="false">IFERROR(INDEX(平日!$C$2:$C$71,MATCH(A64,平日!$A$2:$A$71,0)),"")</f>
        <v>320850</v>
      </c>
      <c r="C64" s="31" t="str">
        <f aca="false">IFERROR(INDEX(土日!$C$2:$C$28,MATCH(A64,土日!$A$2:$A$28,0)),"")</f>
        <v/>
      </c>
    </row>
    <row r="65" customFormat="false" ht="15" hidden="false" customHeight="false" outlineLevel="0" collapsed="false">
      <c r="A65" s="30" t="n">
        <v>46277</v>
      </c>
      <c r="B65" s="31" t="str">
        <f aca="false">IFERROR(INDEX(平日!$C$2:$C$71,MATCH(A65,平日!$A$2:$A$71,0)),"")</f>
        <v/>
      </c>
      <c r="C65" s="31" t="n">
        <f aca="false">IFERROR(INDEX(土日!$C$2:$C$28,MATCH(A65,土日!$A$2:$A$28,0)),"")</f>
        <v>507490</v>
      </c>
    </row>
    <row r="66" customFormat="false" ht="15" hidden="false" customHeight="false" outlineLevel="0" collapsed="false">
      <c r="A66" s="30" t="n">
        <v>46278</v>
      </c>
      <c r="B66" s="31" t="str">
        <f aca="false">IFERROR(INDEX(平日!$C$2:$C$71,MATCH(A66,平日!$A$2:$A$71,0)),"")</f>
        <v/>
      </c>
      <c r="C66" s="31" t="n">
        <f aca="false">IFERROR(INDEX(土日!$C$2:$C$28,MATCH(A66,土日!$A$2:$A$28,0)),"")</f>
        <v>543290</v>
      </c>
    </row>
    <row r="67" customFormat="false" ht="15" hidden="false" customHeight="false" outlineLevel="0" collapsed="false">
      <c r="A67" s="30" t="n">
        <v>46279</v>
      </c>
      <c r="B67" s="31" t="n">
        <f aca="false">IFERROR(INDEX(平日!$C$2:$C$71,MATCH(A67,平日!$A$2:$A$71,0)),"")</f>
        <v>215510</v>
      </c>
      <c r="C67" s="31" t="str">
        <f aca="false">IFERROR(INDEX(土日!$C$2:$C$28,MATCH(A67,土日!$A$2:$A$28,0)),"")</f>
        <v/>
      </c>
    </row>
    <row r="68" customFormat="false" ht="15" hidden="false" customHeight="false" outlineLevel="0" collapsed="false">
      <c r="A68" s="30" t="n">
        <v>46280</v>
      </c>
      <c r="B68" s="31" t="n">
        <f aca="false">IFERROR(INDEX(平日!$C$2:$C$71,MATCH(A68,平日!$A$2:$A$71,0)),"")</f>
        <v>167060</v>
      </c>
      <c r="C68" s="31" t="str">
        <f aca="false">IFERROR(INDEX(土日!$C$2:$C$28,MATCH(A68,土日!$A$2:$A$28,0)),"")</f>
        <v/>
      </c>
    </row>
    <row r="69" customFormat="false" ht="15" hidden="false" customHeight="false" outlineLevel="0" collapsed="false">
      <c r="A69" s="30" t="n">
        <v>46281</v>
      </c>
      <c r="B69" s="31" t="n">
        <f aca="false">IFERROR(INDEX(平日!$C$2:$C$71,MATCH(A69,平日!$A$2:$A$71,0)),"")</f>
        <v>392050</v>
      </c>
      <c r="C69" s="31" t="str">
        <f aca="false">IFERROR(INDEX(土日!$C$2:$C$28,MATCH(A69,土日!$A$2:$A$28,0)),"")</f>
        <v/>
      </c>
    </row>
    <row r="70" customFormat="false" ht="15" hidden="false" customHeight="false" outlineLevel="0" collapsed="false">
      <c r="A70" s="30" t="n">
        <v>46282</v>
      </c>
      <c r="B70" s="31" t="n">
        <f aca="false">IFERROR(INDEX(平日!$C$2:$C$71,MATCH(A70,平日!$A$2:$A$71,0)),"")</f>
        <v>259100</v>
      </c>
      <c r="C70" s="31" t="str">
        <f aca="false">IFERROR(INDEX(土日!$C$2:$C$28,MATCH(A70,土日!$A$2:$A$28,0)),"")</f>
        <v/>
      </c>
    </row>
    <row r="71" customFormat="false" ht="15" hidden="false" customHeight="false" outlineLevel="0" collapsed="false">
      <c r="A71" s="30" t="n">
        <v>46283</v>
      </c>
      <c r="B71" s="31" t="n">
        <f aca="false">IFERROR(INDEX(平日!$C$2:$C$71,MATCH(A71,平日!$A$2:$A$71,0)),"")</f>
        <v>278990</v>
      </c>
      <c r="C71" s="31" t="str">
        <f aca="false">IFERROR(INDEX(土日!$C$2:$C$28,MATCH(A71,土日!$A$2:$A$28,0)),"")</f>
        <v/>
      </c>
    </row>
    <row r="72" customFormat="false" ht="15" hidden="false" customHeight="false" outlineLevel="0" collapsed="false">
      <c r="A72" s="30" t="n">
        <v>46284</v>
      </c>
      <c r="B72" s="31" t="str">
        <f aca="false">IFERROR(INDEX(平日!$C$2:$C$71,MATCH(A72,平日!$A$2:$A$71,0)),"")</f>
        <v/>
      </c>
      <c r="C72" s="31" t="n">
        <f aca="false">IFERROR(INDEX(土日!$C$2:$C$28,MATCH(A72,土日!$A$2:$A$28,0)),"")</f>
        <v>466800</v>
      </c>
    </row>
    <row r="73" customFormat="false" ht="15" hidden="false" customHeight="false" outlineLevel="0" collapsed="false">
      <c r="A73" s="30" t="n">
        <v>46285</v>
      </c>
      <c r="B73" s="31" t="str">
        <f aca="false">IFERROR(INDEX(平日!$C$2:$C$71,MATCH(A73,平日!$A$2:$A$71,0)),"")</f>
        <v/>
      </c>
      <c r="C73" s="31" t="n">
        <f aca="false">IFERROR(INDEX(土日!$C$2:$C$28,MATCH(A73,土日!$A$2:$A$28,0)),"")</f>
        <v>586850</v>
      </c>
    </row>
    <row r="74" customFormat="false" ht="15" hidden="false" customHeight="false" outlineLevel="0" collapsed="false">
      <c r="A74" s="30" t="n">
        <v>46286</v>
      </c>
      <c r="B74" s="31" t="n">
        <f aca="false">IFERROR(INDEX(平日!$C$2:$C$71,MATCH(A74,平日!$A$2:$A$71,0)),"")</f>
        <v>606440</v>
      </c>
      <c r="C74" s="31" t="str">
        <f aca="false">IFERROR(INDEX(土日!$C$2:$C$28,MATCH(A74,土日!$A$2:$A$28,0)),"")</f>
        <v/>
      </c>
    </row>
    <row r="75" customFormat="false" ht="15" hidden="false" customHeight="false" outlineLevel="0" collapsed="false">
      <c r="A75" s="30" t="n">
        <v>46287</v>
      </c>
      <c r="B75" s="31" t="n">
        <f aca="false">IFERROR(INDEX(平日!$C$2:$C$71,MATCH(A75,平日!$A$2:$A$71,0)),"")</f>
        <v>471650</v>
      </c>
      <c r="C75" s="31" t="str">
        <f aca="false">IFERROR(INDEX(土日!$C$2:$C$28,MATCH(A75,土日!$A$2:$A$28,0)),"")</f>
        <v/>
      </c>
    </row>
    <row r="76" customFormat="false" ht="15" hidden="false" customHeight="false" outlineLevel="0" collapsed="false">
      <c r="A76" s="30" t="n">
        <v>46288</v>
      </c>
      <c r="B76" s="31" t="n">
        <f aca="false">IFERROR(INDEX(平日!$C$2:$C$71,MATCH(A76,平日!$A$2:$A$71,0)),"")</f>
        <v>425490</v>
      </c>
      <c r="C76" s="31" t="str">
        <f aca="false">IFERROR(INDEX(土日!$C$2:$C$28,MATCH(A76,土日!$A$2:$A$28,0)),"")</f>
        <v/>
      </c>
    </row>
    <row r="77" customFormat="false" ht="15" hidden="false" customHeight="false" outlineLevel="0" collapsed="false">
      <c r="A77" s="30" t="n">
        <v>46289</v>
      </c>
      <c r="B77" s="31" t="n">
        <f aca="false">IFERROR(INDEX(平日!$C$2:$C$71,MATCH(A77,平日!$A$2:$A$71,0)),"")</f>
        <v>223490</v>
      </c>
      <c r="C77" s="31" t="str">
        <f aca="false">IFERROR(INDEX(土日!$C$2:$C$28,MATCH(A77,土日!$A$2:$A$28,0)),"")</f>
        <v/>
      </c>
    </row>
    <row r="78" customFormat="false" ht="15" hidden="false" customHeight="false" outlineLevel="0" collapsed="false">
      <c r="A78" s="30" t="n">
        <v>46290</v>
      </c>
      <c r="B78" s="31" t="n">
        <f aca="false">IFERROR(INDEX(平日!$C$2:$C$71,MATCH(A78,平日!$A$2:$A$71,0)),"")</f>
        <v>235170</v>
      </c>
      <c r="C78" s="31" t="str">
        <f aca="false">IFERROR(INDEX(土日!$C$2:$C$28,MATCH(A78,土日!$A$2:$A$28,0)),"")</f>
        <v/>
      </c>
    </row>
    <row r="79" customFormat="false" ht="15" hidden="false" customHeight="false" outlineLevel="0" collapsed="false">
      <c r="A79" s="30" t="n">
        <v>46291</v>
      </c>
      <c r="B79" s="31" t="str">
        <f aca="false">IFERROR(INDEX(平日!$C$2:$C$71,MATCH(A79,平日!$A$2:$A$71,0)),"")</f>
        <v/>
      </c>
      <c r="C79" s="31" t="n">
        <f aca="false">IFERROR(INDEX(土日!$C$2:$C$28,MATCH(A79,土日!$A$2:$A$28,0)),"")</f>
        <v>569450</v>
      </c>
    </row>
    <row r="80" customFormat="false" ht="15" hidden="false" customHeight="false" outlineLevel="0" collapsed="false">
      <c r="A80" s="30" t="n">
        <v>46292</v>
      </c>
      <c r="B80" s="31" t="str">
        <f aca="false">IFERROR(INDEX(平日!$C$2:$C$71,MATCH(A80,平日!$A$2:$A$71,0)),"")</f>
        <v/>
      </c>
      <c r="C80" s="31" t="n">
        <f aca="false">IFERROR(INDEX(土日!$C$2:$C$28,MATCH(A80,土日!$A$2:$A$28,0)),"")</f>
        <v>512050</v>
      </c>
    </row>
    <row r="81" customFormat="false" ht="15" hidden="false" customHeight="false" outlineLevel="0" collapsed="false">
      <c r="A81" s="30" t="n">
        <v>46293</v>
      </c>
      <c r="B81" s="31" t="n">
        <f aca="false">IFERROR(INDEX(平日!$C$2:$C$71,MATCH(A81,平日!$A$2:$A$71,0)),"")</f>
        <v>175910</v>
      </c>
      <c r="C81" s="31" t="str">
        <f aca="false">IFERROR(INDEX(土日!$C$2:$C$28,MATCH(A81,土日!$A$2:$A$28,0)),"")</f>
        <v/>
      </c>
    </row>
    <row r="82" customFormat="false" ht="15" hidden="false" customHeight="false" outlineLevel="0" collapsed="false">
      <c r="A82" s="30" t="n">
        <v>46294</v>
      </c>
      <c r="B82" s="31" t="n">
        <f aca="false">IFERROR(INDEX(平日!$C$2:$C$71,MATCH(A82,平日!$A$2:$A$71,0)),"")</f>
        <v>203590</v>
      </c>
      <c r="C82" s="31" t="str">
        <f aca="false">IFERROR(INDEX(土日!$C$2:$C$28,MATCH(A82,土日!$A$2:$A$28,0)),"")</f>
        <v/>
      </c>
    </row>
    <row r="83" customFormat="false" ht="15" hidden="false" customHeight="false" outlineLevel="0" collapsed="false">
      <c r="A83" s="30" t="n">
        <v>46295</v>
      </c>
      <c r="B83" s="31" t="n">
        <f aca="false">IFERROR(INDEX(平日!$C$2:$C$71,MATCH(A83,平日!$A$2:$A$71,0)),"")</f>
        <v>204670</v>
      </c>
      <c r="C83" s="31" t="str">
        <f aca="false">IFERROR(INDEX(土日!$C$2:$C$28,MATCH(A83,土日!$A$2:$A$28,0)),"")</f>
        <v/>
      </c>
    </row>
    <row r="84" customFormat="false" ht="15" hidden="false" customHeight="false" outlineLevel="0" collapsed="false">
      <c r="A84" s="30" t="n">
        <v>46296</v>
      </c>
      <c r="B84" s="31" t="n">
        <f aca="false">IFERROR(INDEX(平日!$C$2:$C$71,MATCH(A84,平日!$A$2:$A$71,0)),"")</f>
        <v>165390</v>
      </c>
      <c r="C84" s="31" t="str">
        <f aca="false">IFERROR(INDEX(土日!$C$2:$C$28,MATCH(A84,土日!$A$2:$A$28,0)),"")</f>
        <v/>
      </c>
    </row>
    <row r="85" customFormat="false" ht="15" hidden="false" customHeight="false" outlineLevel="0" collapsed="false">
      <c r="A85" s="30" t="n">
        <v>46297</v>
      </c>
      <c r="B85" s="31" t="n">
        <f aca="false">IFERROR(INDEX(平日!$C$2:$C$71,MATCH(A85,平日!$A$2:$A$71,0)),"")</f>
        <v>250680</v>
      </c>
      <c r="C85" s="31" t="str">
        <f aca="false">IFERROR(INDEX(土日!$C$2:$C$28,MATCH(A85,土日!$A$2:$A$28,0)),"")</f>
        <v/>
      </c>
    </row>
    <row r="86" customFormat="false" ht="15" hidden="false" customHeight="false" outlineLevel="0" collapsed="false">
      <c r="A86" s="30" t="n">
        <v>46298</v>
      </c>
      <c r="B86" s="31" t="str">
        <f aca="false">IFERROR(INDEX(平日!$C$2:$C$71,MATCH(A86,平日!$A$2:$A$71,0)),"")</f>
        <v/>
      </c>
      <c r="C86" s="31" t="n">
        <f aca="false">IFERROR(INDEX(土日!$C$2:$C$28,MATCH(A86,土日!$A$2:$A$28,0)),"")</f>
        <v>454190</v>
      </c>
    </row>
    <row r="87" customFormat="false" ht="15" hidden="false" customHeight="false" outlineLevel="0" collapsed="false">
      <c r="A87" s="30" t="n">
        <v>46299</v>
      </c>
      <c r="B87" s="31" t="str">
        <f aca="false">IFERROR(INDEX(平日!$C$2:$C$71,MATCH(A87,平日!$A$2:$A$71,0)),"")</f>
        <v/>
      </c>
      <c r="C87" s="31" t="n">
        <f aca="false">IFERROR(INDEX(土日!$C$2:$C$28,MATCH(A87,土日!$A$2:$A$28,0)),"")</f>
        <v>606680</v>
      </c>
    </row>
    <row r="88" customFormat="false" ht="15" hidden="false" customHeight="false" outlineLevel="0" collapsed="false">
      <c r="A88" s="30" t="n">
        <v>46300</v>
      </c>
      <c r="B88" s="31" t="n">
        <f aca="false">IFERROR(INDEX(平日!$C$2:$C$71,MATCH(A88,平日!$A$2:$A$71,0)),"")</f>
        <v>190960</v>
      </c>
      <c r="C88" s="31" t="str">
        <f aca="false">IFERROR(INDEX(土日!$C$2:$C$28,MATCH(A88,土日!$A$2:$A$28,0)),"")</f>
        <v/>
      </c>
    </row>
    <row r="89" customFormat="false" ht="15" hidden="false" customHeight="false" outlineLevel="0" collapsed="false">
      <c r="A89" s="30" t="n">
        <v>46301</v>
      </c>
      <c r="B89" s="31" t="n">
        <f aca="false">IFERROR(INDEX(平日!$C$2:$C$71,MATCH(A89,平日!$A$2:$A$71,0)),"")</f>
        <v>237070</v>
      </c>
      <c r="C89" s="31" t="str">
        <f aca="false">IFERROR(INDEX(土日!$C$2:$C$28,MATCH(A89,土日!$A$2:$A$28,0)),"")</f>
        <v/>
      </c>
    </row>
    <row r="90" customFormat="false" ht="15" hidden="false" customHeight="false" outlineLevel="0" collapsed="false">
      <c r="A90" s="30" t="n">
        <v>46302</v>
      </c>
      <c r="B90" s="31" t="n">
        <f aca="false">IFERROR(INDEX(平日!$C$2:$C$71,MATCH(A90,平日!$A$2:$A$71,0)),"")</f>
        <v>264350</v>
      </c>
      <c r="C90" s="31" t="str">
        <f aca="false">IFERROR(INDEX(土日!$C$2:$C$28,MATCH(A90,土日!$A$2:$A$28,0)),"")</f>
        <v/>
      </c>
    </row>
    <row r="91" customFormat="false" ht="15" hidden="false" customHeight="false" outlineLevel="0" collapsed="false">
      <c r="A91" s="30" t="n">
        <v>46303</v>
      </c>
      <c r="B91" s="31" t="n">
        <f aca="false">IFERROR(INDEX(平日!$C$2:$C$71,MATCH(A91,平日!$A$2:$A$71,0)),"")</f>
        <v>211130</v>
      </c>
      <c r="C91" s="31" t="str">
        <f aca="false">IFERROR(INDEX(土日!$C$2:$C$28,MATCH(A91,土日!$A$2:$A$28,0)),"")</f>
        <v/>
      </c>
    </row>
    <row r="92" customFormat="false" ht="15" hidden="false" customHeight="false" outlineLevel="0" collapsed="false">
      <c r="A92" s="30" t="n">
        <v>46304</v>
      </c>
      <c r="B92" s="31" t="n">
        <f aca="false">IFERROR(INDEX(平日!$C$2:$C$71,MATCH(A92,平日!$A$2:$A$71,0)),"")</f>
        <v>247550</v>
      </c>
      <c r="C92" s="31" t="str">
        <f aca="false">IFERROR(INDEX(土日!$C$2:$C$28,MATCH(A92,土日!$A$2:$A$28,0)),"")</f>
        <v/>
      </c>
    </row>
    <row r="93" customFormat="false" ht="15" hidden="false" customHeight="false" outlineLevel="0" collapsed="false">
      <c r="A93" s="30" t="n">
        <v>46305</v>
      </c>
      <c r="B93" s="31" t="str">
        <f aca="false">IFERROR(INDEX(平日!$C$2:$C$71,MATCH(A93,平日!$A$2:$A$71,0)),"")</f>
        <v/>
      </c>
      <c r="C93" s="31" t="n">
        <f aca="false">IFERROR(INDEX(土日!$C$2:$C$28,MATCH(A93,土日!$A$2:$A$28,0)),"")</f>
        <v>377970</v>
      </c>
    </row>
    <row r="94" customFormat="false" ht="15" hidden="false" customHeight="false" outlineLevel="0" collapsed="false">
      <c r="A94" s="30" t="n">
        <v>46306</v>
      </c>
      <c r="B94" s="31" t="str">
        <f aca="false">IFERROR(INDEX(平日!$C$2:$C$71,MATCH(A94,平日!$A$2:$A$71,0)),"")</f>
        <v/>
      </c>
      <c r="C94" s="31" t="n">
        <f aca="false">IFERROR(INDEX(土日!$C$2:$C$28,MATCH(A94,土日!$A$2:$A$28,0)),"")</f>
        <v>498390</v>
      </c>
    </row>
    <row r="95" customFormat="false" ht="15" hidden="false" customHeight="false" outlineLevel="0" collapsed="false">
      <c r="A95" s="30" t="n">
        <v>46307</v>
      </c>
      <c r="B95" s="31" t="n">
        <f aca="false">IFERROR(INDEX(平日!$C$2:$C$71,MATCH(A95,平日!$A$2:$A$71,0)),"")</f>
        <v>344250</v>
      </c>
      <c r="C95" s="31" t="str">
        <f aca="false">IFERROR(INDEX(土日!$C$2:$C$28,MATCH(A95,土日!$A$2:$A$28,0)),"")</f>
        <v/>
      </c>
    </row>
    <row r="96" customFormat="false" ht="15" hidden="false" customHeight="false" outlineLevel="0" collapsed="false">
      <c r="A96" s="30" t="n">
        <v>46308</v>
      </c>
      <c r="B96" s="31" t="n">
        <f aca="false">IFERROR(INDEX(平日!$C$2:$C$71,MATCH(A96,平日!$A$2:$A$71,0)),"")</f>
        <v>167680</v>
      </c>
      <c r="C96" s="31" t="str">
        <f aca="false">IFERROR(INDEX(土日!$C$2:$C$28,MATCH(A96,土日!$A$2:$A$28,0)),"")</f>
        <v/>
      </c>
    </row>
    <row r="97" customFormat="false" ht="15" hidden="false" customHeight="false" outlineLevel="0" collapsed="false">
      <c r="A97" s="30" t="n">
        <v>46309</v>
      </c>
      <c r="B97" s="31" t="n">
        <f aca="false">IFERROR(INDEX(平日!$C$2:$C$71,MATCH(A97,平日!$A$2:$A$71,0)),"")</f>
        <v>241620</v>
      </c>
      <c r="C97" s="31" t="str">
        <f aca="false">IFERROR(INDEX(土日!$C$2:$C$28,MATCH(A97,土日!$A$2:$A$28,0)),"")</f>
        <v/>
      </c>
    </row>
    <row r="98" customFormat="false" ht="15" hidden="false" customHeight="false" outlineLevel="0" collapsed="false">
      <c r="A98" s="30" t="n">
        <v>46310</v>
      </c>
      <c r="B98" s="31" t="n">
        <f aca="false">IFERROR(INDEX(平日!$C$2:$C$71,MATCH(A98,平日!$A$2:$A$71,0)),"")</f>
        <v>213180</v>
      </c>
      <c r="C98" s="31" t="str">
        <f aca="false">IFERROR(INDEX(土日!$C$2:$C$28,MATCH(A98,土日!$A$2:$A$28,0)),"")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4" min="3" style="0" width="14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27" t="s">
        <v>52</v>
      </c>
      <c r="B1" s="27" t="s">
        <v>53</v>
      </c>
      <c r="C1" s="28" t="s">
        <v>4</v>
      </c>
      <c r="D1" s="29" t="s">
        <v>7</v>
      </c>
      <c r="E1" s="27" t="s">
        <v>54</v>
      </c>
    </row>
    <row r="2" customFormat="false" ht="15" hidden="false" customHeight="false" outlineLevel="0" collapsed="false">
      <c r="A2" s="32" t="n">
        <v>46195</v>
      </c>
      <c r="B2" s="33" t="n">
        <f aca="false">A2+6</f>
        <v>46201</v>
      </c>
      <c r="C2" s="7" t="n">
        <f aca="false">AVERAGEIFS(平日!$C$2:$C$71,平日!$A$2:$A$71,"&gt;="&amp;A2,平日!$A$2:$A$71,"&lt;="&amp;B2)</f>
        <v>405362</v>
      </c>
      <c r="D2" s="7" t="n">
        <f aca="false">AVERAGEIFS(土日!$C$2:$C$28,土日!$A$2:$A$28,"&gt;="&amp;A2,土日!$A$2:$A$28,"&lt;="&amp;B2)</f>
        <v>711765</v>
      </c>
      <c r="E2" s="5" t="s">
        <v>55</v>
      </c>
    </row>
    <row r="3" customFormat="false" ht="15" hidden="false" customHeight="false" outlineLevel="0" collapsed="false">
      <c r="A3" s="32" t="n">
        <v>46202</v>
      </c>
      <c r="B3" s="33" t="n">
        <f aca="false">A3+6</f>
        <v>46208</v>
      </c>
      <c r="C3" s="7" t="n">
        <f aca="false">AVERAGEIFS(平日!$C$2:$C$71,平日!$A$2:$A$71,"&gt;="&amp;A3,平日!$A$2:$A$71,"&lt;="&amp;B3)</f>
        <v>408516</v>
      </c>
      <c r="D3" s="7" t="n">
        <f aca="false">AVERAGEIFS(土日!$C$2:$C$28,土日!$A$2:$A$28,"&gt;="&amp;A3,土日!$A$2:$A$28,"&lt;="&amp;B3)</f>
        <v>775545</v>
      </c>
      <c r="E3" s="5" t="s">
        <v>56</v>
      </c>
    </row>
    <row r="4" customFormat="false" ht="15" hidden="false" customHeight="false" outlineLevel="0" collapsed="false">
      <c r="A4" s="32" t="n">
        <v>46209</v>
      </c>
      <c r="B4" s="33" t="n">
        <f aca="false">A4+6</f>
        <v>46215</v>
      </c>
      <c r="C4" s="7" t="n">
        <f aca="false">AVERAGEIFS(平日!$C$2:$C$71,平日!$A$2:$A$71,"&gt;="&amp;A4,平日!$A$2:$A$71,"&lt;="&amp;B4)</f>
        <v>380590</v>
      </c>
      <c r="D4" s="7" t="n">
        <f aca="false">AVERAGEIFS(土日!$C$2:$C$28,土日!$A$2:$A$28,"&gt;="&amp;A4,土日!$A$2:$A$28,"&lt;="&amp;B4)</f>
        <v>779975</v>
      </c>
      <c r="E4" s="5" t="s">
        <v>57</v>
      </c>
    </row>
    <row r="5" customFormat="false" ht="15" hidden="false" customHeight="false" outlineLevel="0" collapsed="false">
      <c r="A5" s="32" t="n">
        <v>46216</v>
      </c>
      <c r="B5" s="33" t="n">
        <f aca="false">A5+6</f>
        <v>46222</v>
      </c>
      <c r="C5" s="7" t="n">
        <f aca="false">AVERAGEIFS(平日!$C$2:$C$71,平日!$A$2:$A$71,"&gt;="&amp;A5,平日!$A$2:$A$71,"&lt;="&amp;B5)</f>
        <v>406870</v>
      </c>
      <c r="D5" s="7" t="n">
        <f aca="false">AVERAGEIFS(土日!$C$2:$C$28,土日!$A$2:$A$28,"&gt;="&amp;A5,土日!$A$2:$A$28,"&lt;="&amp;B5)</f>
        <v>695245</v>
      </c>
      <c r="E5" s="5" t="s">
        <v>58</v>
      </c>
    </row>
    <row r="6" customFormat="false" ht="15" hidden="false" customHeight="false" outlineLevel="0" collapsed="false">
      <c r="A6" s="32" t="n">
        <v>46223</v>
      </c>
      <c r="B6" s="33" t="n">
        <f aca="false">A6+6</f>
        <v>46229</v>
      </c>
      <c r="C6" s="7" t="n">
        <f aca="false">AVERAGEIFS(平日!$C$2:$C$71,平日!$A$2:$A$71,"&gt;="&amp;A6,平日!$A$2:$A$71,"&lt;="&amp;B6)</f>
        <v>597070</v>
      </c>
      <c r="D6" s="7" t="n">
        <f aca="false">AVERAGEIFS(土日!$C$2:$C$28,土日!$A$2:$A$28,"&gt;="&amp;A6,土日!$A$2:$A$28,"&lt;="&amp;B6)</f>
        <v>655595</v>
      </c>
      <c r="E6" s="5" t="s">
        <v>59</v>
      </c>
    </row>
    <row r="7" customFormat="false" ht="15" hidden="false" customHeight="false" outlineLevel="0" collapsed="false">
      <c r="A7" s="32" t="n">
        <v>46230</v>
      </c>
      <c r="B7" s="33" t="n">
        <f aca="false">A7+6</f>
        <v>46236</v>
      </c>
      <c r="C7" s="7" t="n">
        <f aca="false">AVERAGEIFS(平日!$C$2:$C$71,平日!$A$2:$A$71,"&gt;="&amp;A7,平日!$A$2:$A$71,"&lt;="&amp;B7)</f>
        <v>413490</v>
      </c>
      <c r="D7" s="7" t="n">
        <f aca="false">AVERAGEIFS(土日!$C$2:$C$28,土日!$A$2:$A$28,"&gt;="&amp;A7,土日!$A$2:$A$28,"&lt;="&amp;B7)</f>
        <v>688185</v>
      </c>
      <c r="E7" s="5" t="s">
        <v>60</v>
      </c>
    </row>
    <row r="8" customFormat="false" ht="15" hidden="false" customHeight="false" outlineLevel="0" collapsed="false">
      <c r="A8" s="32" t="n">
        <v>46258</v>
      </c>
      <c r="B8" s="33" t="n">
        <f aca="false">A8+6</f>
        <v>46264</v>
      </c>
      <c r="C8" s="7" t="n">
        <f aca="false">AVERAGEIFS(平日!$C$2:$C$71,平日!$A$2:$A$71,"&gt;="&amp;A8,平日!$A$2:$A$71,"&lt;="&amp;B8)</f>
        <v>307740</v>
      </c>
      <c r="D8" s="7" t="n">
        <f aca="false">AVERAGEIFS(土日!$C$2:$C$28,土日!$A$2:$A$28,"&gt;="&amp;A8,土日!$A$2:$A$28,"&lt;="&amp;B8)</f>
        <v>516040</v>
      </c>
      <c r="E8" s="5" t="s">
        <v>61</v>
      </c>
    </row>
    <row r="9" customFormat="false" ht="15" hidden="false" customHeight="false" outlineLevel="0" collapsed="false">
      <c r="A9" s="32" t="n">
        <v>46265</v>
      </c>
      <c r="B9" s="33" t="n">
        <f aca="false">A9+6</f>
        <v>46271</v>
      </c>
      <c r="C9" s="7" t="n">
        <f aca="false">AVERAGEIFS(平日!$C$2:$C$71,平日!$A$2:$A$71,"&gt;="&amp;A9,平日!$A$2:$A$71,"&lt;="&amp;B9)</f>
        <v>227806</v>
      </c>
      <c r="D9" s="7" t="n">
        <f aca="false">AVERAGEIFS(土日!$C$2:$C$28,土日!$A$2:$A$28,"&gt;="&amp;A9,土日!$A$2:$A$28,"&lt;="&amp;B9)</f>
        <v>558730</v>
      </c>
      <c r="E9" s="5" t="s">
        <v>62</v>
      </c>
    </row>
    <row r="10" customFormat="false" ht="15" hidden="false" customHeight="false" outlineLevel="0" collapsed="false">
      <c r="A10" s="32" t="n">
        <v>46272</v>
      </c>
      <c r="B10" s="33" t="n">
        <f aca="false">A10+6</f>
        <v>46278</v>
      </c>
      <c r="C10" s="7" t="n">
        <f aca="false">AVERAGEIFS(平日!$C$2:$C$71,平日!$A$2:$A$71,"&gt;="&amp;A10,平日!$A$2:$A$71,"&lt;="&amp;B10)</f>
        <v>274202</v>
      </c>
      <c r="D10" s="7" t="n">
        <f aca="false">AVERAGEIFS(土日!$C$2:$C$28,土日!$A$2:$A$28,"&gt;="&amp;A10,土日!$A$2:$A$28,"&lt;="&amp;B10)</f>
        <v>525390</v>
      </c>
      <c r="E10" s="5" t="s">
        <v>63</v>
      </c>
    </row>
    <row r="11" customFormat="false" ht="15" hidden="false" customHeight="false" outlineLevel="0" collapsed="false">
      <c r="A11" s="32" t="n">
        <v>46279</v>
      </c>
      <c r="B11" s="33" t="n">
        <f aca="false">A11+6</f>
        <v>46285</v>
      </c>
      <c r="C11" s="7" t="n">
        <f aca="false">AVERAGEIFS(平日!$C$2:$C$71,平日!$A$2:$A$71,"&gt;="&amp;A11,平日!$A$2:$A$71,"&lt;="&amp;B11)</f>
        <v>262542</v>
      </c>
      <c r="D11" s="7" t="n">
        <f aca="false">AVERAGEIFS(土日!$C$2:$C$28,土日!$A$2:$A$28,"&gt;="&amp;A11,土日!$A$2:$A$28,"&lt;="&amp;B11)</f>
        <v>526825</v>
      </c>
      <c r="E11" s="5" t="s">
        <v>64</v>
      </c>
    </row>
    <row r="12" customFormat="false" ht="15" hidden="false" customHeight="false" outlineLevel="0" collapsed="false">
      <c r="A12" s="32" t="n">
        <v>46286</v>
      </c>
      <c r="B12" s="33" t="n">
        <f aca="false">A12+6</f>
        <v>46292</v>
      </c>
      <c r="C12" s="7" t="n">
        <f aca="false">AVERAGEIFS(平日!$C$2:$C$71,平日!$A$2:$A$71,"&gt;="&amp;A12,平日!$A$2:$A$71,"&lt;="&amp;B12)</f>
        <v>392448</v>
      </c>
      <c r="D12" s="7" t="n">
        <f aca="false">AVERAGEIFS(土日!$C$2:$C$28,土日!$A$2:$A$28,"&gt;="&amp;A12,土日!$A$2:$A$28,"&lt;="&amp;B12)</f>
        <v>540750</v>
      </c>
      <c r="E12" s="5" t="s">
        <v>65</v>
      </c>
    </row>
    <row r="13" customFormat="false" ht="15" hidden="false" customHeight="false" outlineLevel="0" collapsed="false">
      <c r="A13" s="32" t="n">
        <v>46293</v>
      </c>
      <c r="B13" s="33" t="n">
        <f aca="false">A13+6</f>
        <v>46299</v>
      </c>
      <c r="C13" s="7" t="n">
        <f aca="false">AVERAGEIFS(平日!$C$2:$C$71,平日!$A$2:$A$71,"&gt;="&amp;A13,平日!$A$2:$A$71,"&lt;="&amp;B13)</f>
        <v>200048</v>
      </c>
      <c r="D13" s="7" t="n">
        <f aca="false">AVERAGEIFS(土日!$C$2:$C$28,土日!$A$2:$A$28,"&gt;="&amp;A13,土日!$A$2:$A$28,"&lt;="&amp;B13)</f>
        <v>530435</v>
      </c>
      <c r="E13" s="5" t="s">
        <v>66</v>
      </c>
    </row>
    <row r="14" customFormat="false" ht="15" hidden="false" customHeight="false" outlineLevel="0" collapsed="false">
      <c r="A14" s="32" t="n">
        <v>46300</v>
      </c>
      <c r="B14" s="33" t="n">
        <f aca="false">A14+6</f>
        <v>46306</v>
      </c>
      <c r="C14" s="7" t="n">
        <f aca="false">AVERAGEIFS(平日!$C$2:$C$71,平日!$A$2:$A$71,"&gt;="&amp;A14,平日!$A$2:$A$71,"&lt;="&amp;B14)</f>
        <v>230212</v>
      </c>
      <c r="D14" s="7" t="n">
        <f aca="false">AVERAGEIFS(土日!$C$2:$C$28,土日!$A$2:$A$28,"&gt;="&amp;A14,土日!$A$2:$A$28,"&lt;="&amp;B14)</f>
        <v>438180</v>
      </c>
      <c r="E14" s="5" t="s">
        <v>67</v>
      </c>
    </row>
    <row r="16" customFormat="false" ht="15" hidden="false" customHeight="false" outlineLevel="0" collapsed="false">
      <c r="A16" s="16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2026-10-15T15:43:13Z</dcterms:created>
  <dc:creator>openpyxl</dc:creator>
  <dc:description/>
  <dc:language>en-US</dc:language>
  <cp:lastModifiedBy/>
  <dcterms:modified xsi:type="dcterms:W3CDTF">2026-10-15T15:43:16Z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