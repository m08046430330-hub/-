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サマリー" sheetId="1" state="visible" r:id="rId1"/>
    <sheet name="日別データ" sheetId="2" state="visible" r:id="rId2"/>
    <sheet name="報告者別" sheetId="3" state="visible" r:id="rId3"/>
    <sheet name="グラフ" sheetId="4" state="visible" r:id="rId4"/>
  </sheets>
  <definedNames>
    <definedName name="_xlnm._FilterDatabase" localSheetId="1" hidden="1">'日別データ'!$A$1:$I$123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%"/>
  </numFmts>
  <fonts count="10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</font>
    <font>
      <name val="Yu Gothic"/>
      <b val="1"/>
      <sz val="14"/>
    </font>
    <font>
      <name val="Yu Gothic"/>
      <color rgb="00595959"/>
      <sz val="9"/>
    </font>
    <font>
      <name val="Yu Gothic"/>
      <color rgb="00000000"/>
    </font>
    <font>
      <name val="Yu Gothic"/>
      <color rgb="000000FF"/>
    </font>
    <font>
      <name val="Yu Gothic"/>
      <b val="1"/>
    </font>
    <font>
      <name val="Yu Gothic"/>
      <b val="1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5" fillId="0" borderId="1" pivotButton="0" quotePrefix="0" xfId="0"/>
    <xf numFmtId="3" fontId="6" fillId="0" borderId="1" pivotButton="0" quotePrefix="0" xfId="0"/>
    <xf numFmtId="166" fontId="5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165" fontId="2" fillId="4" borderId="1" pivotButton="0" quotePrefix="0" xfId="0"/>
    <xf numFmtId="0" fontId="2" fillId="4" borderId="1" pivotButton="0" quotePrefix="0" xfId="0"/>
    <xf numFmtId="3" fontId="2" fillId="4" borderId="1" pivotButton="0" quotePrefix="0" xfId="0"/>
    <xf numFmtId="165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月合計売上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'月別サマリー'!B4</f>
            </strRef>
          </tx>
          <spPr>
            <a:ln>
              <a:prstDash val="solid"/>
            </a:ln>
          </spPr>
          <cat>
            <numRef>
              <f>'月別サマリー'!$A$5:$A$8</f>
            </numRef>
          </cat>
          <val>
            <numRef>
              <f>'月別サマリー'!$B$5:$B$8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円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平日平均 vs 土日祝平均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'月別サマリー'!G4</f>
            </strRef>
          </tx>
          <spPr>
            <a:ln>
              <a:prstDash val="solid"/>
            </a:ln>
          </spPr>
          <cat>
            <numRef>
              <f>'月別サマリー'!$A$5:$A$8</f>
            </numRef>
          </cat>
          <val>
            <numRef>
              <f>'月別サマリー'!$G$5:$G$8</f>
            </numRef>
          </val>
        </ser>
        <ser>
          <idx val="1"/>
          <order val="1"/>
          <tx>
            <strRef>
              <f>'月別サマリー'!H4</f>
            </strRef>
          </tx>
          <spPr>
            <a:ln>
              <a:prstDash val="solid"/>
            </a:ln>
          </spPr>
          <cat>
            <numRef>
              <f>'月別サマリー'!$A$5:$A$8</f>
            </numRef>
          </cat>
          <val>
            <numRef>
              <f>'月別サマリー'!$H$5:$H$8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円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日別売上推移（月別比較）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'グラフ'!B1</f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'グラフ'!$A$2:$A$32</f>
            </numRef>
          </cat>
          <val>
            <numRef>
              <f>'グラフ'!$B$2:$B$32</f>
            </numRef>
          </val>
          <smooth val="0"/>
        </ser>
        <ser>
          <idx val="1"/>
          <order val="1"/>
          <tx>
            <strRef>
              <f>'グラフ'!C1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'グラフ'!$A$2:$A$32</f>
            </numRef>
          </cat>
          <val>
            <numRef>
              <f>'グラフ'!$C$2:$C$32</f>
            </numRef>
          </val>
          <smooth val="0"/>
        </ser>
        <ser>
          <idx val="2"/>
          <order val="2"/>
          <tx>
            <strRef>
              <f>'グラフ'!D1</f>
            </strRef>
          </tx>
          <spPr>
            <a:ln w="22000">
              <a:solidFill>
                <a:srgbClr val="A5A5A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'グラフ'!$A$2:$A$32</f>
            </numRef>
          </cat>
          <val>
            <numRef>
              <f>'グラフ'!$D$2:$D$32</f>
            </numRef>
          </val>
          <smooth val="0"/>
        </ser>
        <ser>
          <idx val="3"/>
          <order val="3"/>
          <tx>
            <strRef>
              <f>'グラフ'!E1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'グラフ'!$A$2:$A$32</f>
            </numRef>
          </cat>
          <val>
            <numRef>
              <f>'グラフ'!$E$2:$E$32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売上（円）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集計</author>
  </authors>
  <commentList>
    <comment ref="B5" authorId="0" shapeId="0">
      <text>
        <t>LINE報告の最終『月合算』値（入力値）</t>
      </text>
    </comment>
    <comment ref="B6" authorId="0" shapeId="0">
      <text>
        <t>LINE報告の最終『月合算』値（入力値）</t>
      </text>
    </comment>
    <comment ref="B7" authorId="0" shapeId="0">
      <text>
        <t>LINE報告の最終『月合算』値（入力値）</t>
      </text>
    </comment>
    <comment ref="B8" authorId="0" shapeId="0">
      <text>
        <t>LINE報告の最終『月合算』値（入力値）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" customWidth="1" min="3" max="3"/>
    <col width="16" customWidth="1" min="4" max="4"/>
    <col width="15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売上報告集計（2026年6月〜9月）</t>
        </is>
      </c>
    </row>
    <row r="2">
      <c r="A2" s="2" t="inlineStr">
        <is>
          <t>出典：LINEグループの日次売上報告。グレーの日は報告なし。月合計はLINE上の最終「月合算」を採用。</t>
        </is>
      </c>
    </row>
    <row r="4" ht="32" customHeight="1">
      <c r="A4" s="3" t="inlineStr">
        <is>
          <t>月</t>
        </is>
      </c>
      <c r="B4" s="3" t="inlineStr">
        <is>
          <t>月合計（LINE最終累計）</t>
        </is>
      </c>
      <c r="C4" s="3" t="inlineStr">
        <is>
          <t>報告日数</t>
        </is>
      </c>
      <c r="D4" s="3" t="inlineStr">
        <is>
          <t>報告日の売上合計</t>
        </is>
      </c>
      <c r="E4" s="3" t="inlineStr">
        <is>
          <t>未報告日・差異分</t>
        </is>
      </c>
      <c r="F4" s="3" t="inlineStr">
        <is>
          <t>報告日の日平均</t>
        </is>
      </c>
      <c r="G4" s="3" t="inlineStr">
        <is>
          <t>平日平均</t>
        </is>
      </c>
      <c r="H4" s="3" t="inlineStr">
        <is>
          <t>土日祝平均</t>
        </is>
      </c>
      <c r="I4" s="3" t="inlineStr">
        <is>
          <t>最高日売上</t>
        </is>
      </c>
      <c r="J4" s="3" t="inlineStr">
        <is>
          <t>最低日売上</t>
        </is>
      </c>
      <c r="K4" s="3" t="inlineStr">
        <is>
          <t>前月比（月合計）</t>
        </is>
      </c>
    </row>
    <row r="5">
      <c r="A5" s="4" t="inlineStr">
        <is>
          <t>6月</t>
        </is>
      </c>
      <c r="B5" s="5" t="n">
        <v>14567370</v>
      </c>
      <c r="C5" s="4">
        <f>COUNTIFS(日別データ!$B$2:$B$123,$A5,日別データ!$F$2:$F$123,"&gt;0")</f>
        <v/>
      </c>
      <c r="D5" s="4">
        <f>SUMIFS(日別データ!$F$2:$F$123,日別データ!$B$2:$B$123,$A5)</f>
        <v/>
      </c>
      <c r="E5" s="4">
        <f>B5-D5</f>
        <v/>
      </c>
      <c r="F5" s="4">
        <f>IFERROR(D5/C5,0)</f>
        <v/>
      </c>
      <c r="G5" s="4">
        <f>IFERROR(AVERAGEIFS(日別データ!$F$2:$F$123,日別データ!$B$2:$B$123,$A5,日別データ!$E$2:$E$123,"平日"),0)</f>
        <v/>
      </c>
      <c r="H5" s="4">
        <f>IFERROR(AVERAGEIFS(日別データ!$F$2:$F$123,日別データ!$B$2:$B$123,$A5,日別データ!$E$2:$E$123,"土日祝"),0)</f>
        <v/>
      </c>
      <c r="I5" s="4">
        <f>SUMPRODUCT(MAX((日別データ!$B$2:$B$123=$A5)*(日別データ!$F$2:$F$123)))</f>
        <v/>
      </c>
      <c r="J5" s="4">
        <f>_xlfn.MINIFS(日別データ!$F$2:$F$123,日別データ!$B$2:$B$123,$A5,日別データ!$F$2:$F$123,"&gt;0")</f>
        <v/>
      </c>
      <c r="K5" s="6" t="inlineStr">
        <is>
          <t>-</t>
        </is>
      </c>
    </row>
    <row r="6">
      <c r="A6" s="4" t="inlineStr">
        <is>
          <t>7月</t>
        </is>
      </c>
      <c r="B6" s="5" t="n">
        <v>15436550</v>
      </c>
      <c r="C6" s="4">
        <f>COUNTIFS(日別データ!$B$2:$B$123,$A6,日別データ!$F$2:$F$123,"&gt;0")</f>
        <v/>
      </c>
      <c r="D6" s="4">
        <f>SUMIFS(日別データ!$F$2:$F$123,日別データ!$B$2:$B$123,$A6)</f>
        <v/>
      </c>
      <c r="E6" s="4">
        <f>B6-D6</f>
        <v/>
      </c>
      <c r="F6" s="4">
        <f>IFERROR(D6/C6,0)</f>
        <v/>
      </c>
      <c r="G6" s="4">
        <f>IFERROR(AVERAGEIFS(日別データ!$F$2:$F$123,日別データ!$B$2:$B$123,$A6,日別データ!$E$2:$E$123,"平日"),0)</f>
        <v/>
      </c>
      <c r="H6" s="4">
        <f>IFERROR(AVERAGEIFS(日別データ!$F$2:$F$123,日別データ!$B$2:$B$123,$A6,日別データ!$E$2:$E$123,"土日祝"),0)</f>
        <v/>
      </c>
      <c r="I6" s="4">
        <f>SUMPRODUCT(MAX((日別データ!$B$2:$B$123=$A6)*(日別データ!$F$2:$F$123)))</f>
        <v/>
      </c>
      <c r="J6" s="4">
        <f>_xlfn.MINIFS(日別データ!$F$2:$F$123,日別データ!$B$2:$B$123,$A6,日別データ!$F$2:$F$123,"&gt;0")</f>
        <v/>
      </c>
      <c r="K6" s="6">
        <f>B6/B5-1</f>
        <v/>
      </c>
    </row>
    <row r="7">
      <c r="A7" s="4" t="inlineStr">
        <is>
          <t>8月</t>
        </is>
      </c>
      <c r="B7" s="5" t="n">
        <v>13529470</v>
      </c>
      <c r="C7" s="4">
        <f>COUNTIFS(日別データ!$B$2:$B$123,$A7,日別データ!$F$2:$F$123,"&gt;0")</f>
        <v/>
      </c>
      <c r="D7" s="4">
        <f>SUMIFS(日別データ!$F$2:$F$123,日別データ!$B$2:$B$123,$A7)</f>
        <v/>
      </c>
      <c r="E7" s="4">
        <f>B7-D7</f>
        <v/>
      </c>
      <c r="F7" s="4">
        <f>IFERROR(D7/C7,0)</f>
        <v/>
      </c>
      <c r="G7" s="4">
        <f>IFERROR(AVERAGEIFS(日別データ!$F$2:$F$123,日別データ!$B$2:$B$123,$A7,日別データ!$E$2:$E$123,"平日"),0)</f>
        <v/>
      </c>
      <c r="H7" s="4">
        <f>IFERROR(AVERAGEIFS(日別データ!$F$2:$F$123,日別データ!$B$2:$B$123,$A7,日別データ!$E$2:$E$123,"土日祝"),0)</f>
        <v/>
      </c>
      <c r="I7" s="4">
        <f>SUMPRODUCT(MAX((日別データ!$B$2:$B$123=$A7)*(日別データ!$F$2:$F$123)))</f>
        <v/>
      </c>
      <c r="J7" s="4">
        <f>_xlfn.MINIFS(日別データ!$F$2:$F$123,日別データ!$B$2:$B$123,$A7,日別データ!$F$2:$F$123,"&gt;0")</f>
        <v/>
      </c>
      <c r="K7" s="6">
        <f>B7/B6-1</f>
        <v/>
      </c>
    </row>
    <row r="8">
      <c r="A8" s="4" t="inlineStr">
        <is>
          <t>9月</t>
        </is>
      </c>
      <c r="B8" s="5" t="n">
        <v>10452880</v>
      </c>
      <c r="C8" s="4">
        <f>COUNTIFS(日別データ!$B$2:$B$123,$A8,日別データ!$F$2:$F$123,"&gt;0")</f>
        <v/>
      </c>
      <c r="D8" s="4">
        <f>SUMIFS(日別データ!$F$2:$F$123,日別データ!$B$2:$B$123,$A8)</f>
        <v/>
      </c>
      <c r="E8" s="4">
        <f>B8-D8</f>
        <v/>
      </c>
      <c r="F8" s="4">
        <f>IFERROR(D8/C8,0)</f>
        <v/>
      </c>
      <c r="G8" s="4">
        <f>IFERROR(AVERAGEIFS(日別データ!$F$2:$F$123,日別データ!$B$2:$B$123,$A8,日別データ!$E$2:$E$123,"平日"),0)</f>
        <v/>
      </c>
      <c r="H8" s="4">
        <f>IFERROR(AVERAGEIFS(日別データ!$F$2:$F$123,日別データ!$B$2:$B$123,$A8,日別データ!$E$2:$E$123,"土日祝"),0)</f>
        <v/>
      </c>
      <c r="I8" s="4">
        <f>SUMPRODUCT(MAX((日別データ!$B$2:$B$123=$A8)*(日別データ!$F$2:$F$123)))</f>
        <v/>
      </c>
      <c r="J8" s="4">
        <f>_xlfn.MINIFS(日別データ!$F$2:$F$123,日別データ!$B$2:$B$123,$A8,日別データ!$F$2:$F$123,"&gt;0")</f>
        <v/>
      </c>
      <c r="K8" s="6">
        <f>B8/B7-1</f>
        <v/>
      </c>
    </row>
    <row r="9">
      <c r="A9" s="7" t="inlineStr">
        <is>
          <t>合計</t>
        </is>
      </c>
      <c r="B9" s="8">
        <f>SUM(B5:B8)</f>
        <v/>
      </c>
      <c r="C9" s="8">
        <f>SUM(C5:C8)</f>
        <v/>
      </c>
      <c r="D9" s="8">
        <f>SUM(D5:D8)</f>
        <v/>
      </c>
      <c r="E9" s="8">
        <f>SUM(E5:E8)</f>
        <v/>
      </c>
      <c r="F9" s="9" t="n"/>
      <c r="G9" s="9" t="n"/>
      <c r="H9" s="9" t="n"/>
      <c r="I9" s="9" t="n"/>
      <c r="J9" s="9" t="n"/>
      <c r="K9" s="9" t="n"/>
    </row>
    <row r="11">
      <c r="A11" s="10" t="inlineStr">
        <is>
          <t>【注記】</t>
        </is>
      </c>
    </row>
    <row r="12">
      <c r="A12" s="11" t="inlineStr">
        <is>
          <t>・6月は6/21以降のみ日別報告あり。6/1〜6/20分（9,840,520円）は「未報告日・差異分」に含まれます。</t>
        </is>
      </c>
    </row>
    <row r="13">
      <c r="A13" s="11" t="inlineStr">
        <is>
          <t>・8月は8/8〜8/23の日別報告なし（月累計から差し引くと計7,236,740円相当）。</t>
        </is>
      </c>
    </row>
    <row r="14">
      <c r="A14" s="11" t="inlineStr">
        <is>
          <t>・7月は7/21〜7/24の日別報告なし。また7/26は訂正後の695,890円を採用。</t>
        </is>
      </c>
    </row>
    <row r="15">
      <c r="A15" s="11" t="inlineStr">
        <is>
          <t>・LINE上の累計に以下の計算ズレがあります（月合計はLINE最終累計を優先）：</t>
        </is>
      </c>
    </row>
    <row r="16">
      <c r="A16" s="11" t="inlineStr">
        <is>
          <t xml:space="preserve">　- 7/4: 前日累計1,402,440+当日833,600=2,236,040 だがLINE累計は2,175,780（差 -60,260）</t>
        </is>
      </c>
    </row>
    <row r="17">
      <c r="A17" s="11" t="inlineStr">
        <is>
          <t xml:space="preserve">　- 7/8: 前日累計3,520,310+当日375,800=3,896,110 だがLINE累計は3,953,870（差 +57,760）</t>
        </is>
      </c>
    </row>
    <row r="18">
      <c r="A18" s="11" t="inlineStr">
        <is>
          <t xml:space="preserve">　- 7/12: 前日累計5,627,380+当日786,550=6,413,930 だがLINE累計は6,413,938（差 +8）</t>
        </is>
      </c>
    </row>
    <row r="19">
      <c r="A19" s="11" t="inlineStr">
        <is>
          <t xml:space="preserve">　- 7/13: 前日累計6,413,938+当日372,650=6,786,588 だがLINE累計は6,784,580（差 -2,008）</t>
        </is>
      </c>
    </row>
    <row r="20">
      <c r="A20" s="11" t="inlineStr">
        <is>
          <t xml:space="preserve">　- 7/20: 前日累計9,836,770+当日597,070=10,433,840 だがLINE累計は10,342,730（差 -91,110）</t>
        </is>
      </c>
    </row>
    <row r="21">
      <c r="A21" s="11" t="inlineStr">
        <is>
          <t xml:space="preserve">　- 7/26: 前日累計12,654,100+当日695,890=13,349,990 だがLINE累計は13,369,100（差 +19,110）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6" customWidth="1" min="4" max="4"/>
    <col width="8" customWidth="1" min="5" max="5"/>
    <col width="13" customWidth="1" min="6" max="6"/>
    <col width="9" customWidth="1" min="7" max="7"/>
    <col width="17" customWidth="1" min="8" max="8"/>
    <col width="58" customWidth="1" min="9" max="9"/>
  </cols>
  <sheetData>
    <row r="1">
      <c r="A1" s="3" t="inlineStr">
        <is>
          <t>日付</t>
        </is>
      </c>
      <c r="B1" s="3" t="inlineStr">
        <is>
          <t>月</t>
        </is>
      </c>
      <c r="C1" s="3" t="inlineStr">
        <is>
          <t>日</t>
        </is>
      </c>
      <c r="D1" s="3" t="inlineStr">
        <is>
          <t>曜日</t>
        </is>
      </c>
      <c r="E1" s="3" t="inlineStr">
        <is>
          <t>区分</t>
        </is>
      </c>
      <c r="F1" s="3" t="inlineStr">
        <is>
          <t>売上（円）</t>
        </is>
      </c>
      <c r="G1" s="3" t="inlineStr">
        <is>
          <t>報告者</t>
        </is>
      </c>
      <c r="H1" s="3" t="inlineStr">
        <is>
          <t>LINE上の月累計（円）</t>
        </is>
      </c>
      <c r="I1" s="3" t="inlineStr">
        <is>
          <t>備考</t>
        </is>
      </c>
    </row>
    <row r="2">
      <c r="A2" s="12" t="n">
        <v>46174</v>
      </c>
      <c r="B2" s="13" t="inlineStr">
        <is>
          <t>6月</t>
        </is>
      </c>
      <c r="C2" s="13" t="n">
        <v>1</v>
      </c>
      <c r="D2" s="13" t="inlineStr">
        <is>
          <t>月</t>
        </is>
      </c>
      <c r="E2" s="13" t="inlineStr">
        <is>
          <t>平日</t>
        </is>
      </c>
      <c r="F2" s="14" t="n"/>
      <c r="G2" s="13" t="n"/>
      <c r="H2" s="14" t="n"/>
      <c r="I2" s="13" t="inlineStr">
        <is>
          <t>未報告（LINEに記載なし）</t>
        </is>
      </c>
    </row>
    <row r="3">
      <c r="A3" s="12" t="n">
        <v>46175</v>
      </c>
      <c r="B3" s="13" t="inlineStr">
        <is>
          <t>6月</t>
        </is>
      </c>
      <c r="C3" s="13" t="n">
        <v>2</v>
      </c>
      <c r="D3" s="13" t="inlineStr">
        <is>
          <t>火</t>
        </is>
      </c>
      <c r="E3" s="13" t="inlineStr">
        <is>
          <t>平日</t>
        </is>
      </c>
      <c r="F3" s="14" t="n"/>
      <c r="G3" s="13" t="n"/>
      <c r="H3" s="14" t="n"/>
      <c r="I3" s="13" t="inlineStr">
        <is>
          <t>未報告（LINEに記載なし）</t>
        </is>
      </c>
    </row>
    <row r="4">
      <c r="A4" s="12" t="n">
        <v>46176</v>
      </c>
      <c r="B4" s="13" t="inlineStr">
        <is>
          <t>6月</t>
        </is>
      </c>
      <c r="C4" s="13" t="n">
        <v>3</v>
      </c>
      <c r="D4" s="13" t="inlineStr">
        <is>
          <t>水</t>
        </is>
      </c>
      <c r="E4" s="13" t="inlineStr">
        <is>
          <t>平日</t>
        </is>
      </c>
      <c r="F4" s="14" t="n"/>
      <c r="G4" s="13" t="n"/>
      <c r="H4" s="14" t="n"/>
      <c r="I4" s="13" t="inlineStr">
        <is>
          <t>未報告（LINEに記載なし）</t>
        </is>
      </c>
    </row>
    <row r="5">
      <c r="A5" s="12" t="n">
        <v>46177</v>
      </c>
      <c r="B5" s="13" t="inlineStr">
        <is>
          <t>6月</t>
        </is>
      </c>
      <c r="C5" s="13" t="n">
        <v>4</v>
      </c>
      <c r="D5" s="13" t="inlineStr">
        <is>
          <t>木</t>
        </is>
      </c>
      <c r="E5" s="13" t="inlineStr">
        <is>
          <t>平日</t>
        </is>
      </c>
      <c r="F5" s="14" t="n"/>
      <c r="G5" s="13" t="n"/>
      <c r="H5" s="14" t="n"/>
      <c r="I5" s="13" t="inlineStr">
        <is>
          <t>未報告（LINEに記載なし）</t>
        </is>
      </c>
    </row>
    <row r="6">
      <c r="A6" s="12" t="n">
        <v>46178</v>
      </c>
      <c r="B6" s="13" t="inlineStr">
        <is>
          <t>6月</t>
        </is>
      </c>
      <c r="C6" s="13" t="n">
        <v>5</v>
      </c>
      <c r="D6" s="13" t="inlineStr">
        <is>
          <t>金</t>
        </is>
      </c>
      <c r="E6" s="13" t="inlineStr">
        <is>
          <t>平日</t>
        </is>
      </c>
      <c r="F6" s="14" t="n"/>
      <c r="G6" s="13" t="n"/>
      <c r="H6" s="14" t="n"/>
      <c r="I6" s="13" t="inlineStr">
        <is>
          <t>未報告（LINEに記載なし）</t>
        </is>
      </c>
    </row>
    <row r="7">
      <c r="A7" s="12" t="n">
        <v>46179</v>
      </c>
      <c r="B7" s="13" t="inlineStr">
        <is>
          <t>6月</t>
        </is>
      </c>
      <c r="C7" s="13" t="n">
        <v>6</v>
      </c>
      <c r="D7" s="13" t="inlineStr">
        <is>
          <t>土</t>
        </is>
      </c>
      <c r="E7" s="13" t="inlineStr">
        <is>
          <t>土日祝</t>
        </is>
      </c>
      <c r="F7" s="14" t="n"/>
      <c r="G7" s="13" t="n"/>
      <c r="H7" s="14" t="n"/>
      <c r="I7" s="13" t="inlineStr">
        <is>
          <t>未報告（LINEに記載なし）</t>
        </is>
      </c>
    </row>
    <row r="8">
      <c r="A8" s="12" t="n">
        <v>46180</v>
      </c>
      <c r="B8" s="13" t="inlineStr">
        <is>
          <t>6月</t>
        </is>
      </c>
      <c r="C8" s="13" t="n">
        <v>7</v>
      </c>
      <c r="D8" s="13" t="inlineStr">
        <is>
          <t>日</t>
        </is>
      </c>
      <c r="E8" s="13" t="inlineStr">
        <is>
          <t>土日祝</t>
        </is>
      </c>
      <c r="F8" s="14" t="n"/>
      <c r="G8" s="13" t="n"/>
      <c r="H8" s="14" t="n"/>
      <c r="I8" s="13" t="inlineStr">
        <is>
          <t>未報告（LINEに記載なし）</t>
        </is>
      </c>
    </row>
    <row r="9">
      <c r="A9" s="12" t="n">
        <v>46181</v>
      </c>
      <c r="B9" s="13" t="inlineStr">
        <is>
          <t>6月</t>
        </is>
      </c>
      <c r="C9" s="13" t="n">
        <v>8</v>
      </c>
      <c r="D9" s="13" t="inlineStr">
        <is>
          <t>月</t>
        </is>
      </c>
      <c r="E9" s="13" t="inlineStr">
        <is>
          <t>平日</t>
        </is>
      </c>
      <c r="F9" s="14" t="n"/>
      <c r="G9" s="13" t="n"/>
      <c r="H9" s="14" t="n"/>
      <c r="I9" s="13" t="inlineStr">
        <is>
          <t>未報告（LINEに記載なし）</t>
        </is>
      </c>
    </row>
    <row r="10">
      <c r="A10" s="12" t="n">
        <v>46182</v>
      </c>
      <c r="B10" s="13" t="inlineStr">
        <is>
          <t>6月</t>
        </is>
      </c>
      <c r="C10" s="13" t="n">
        <v>9</v>
      </c>
      <c r="D10" s="13" t="inlineStr">
        <is>
          <t>火</t>
        </is>
      </c>
      <c r="E10" s="13" t="inlineStr">
        <is>
          <t>平日</t>
        </is>
      </c>
      <c r="F10" s="14" t="n"/>
      <c r="G10" s="13" t="n"/>
      <c r="H10" s="14" t="n"/>
      <c r="I10" s="13" t="inlineStr">
        <is>
          <t>未報告（LINEに記載なし）</t>
        </is>
      </c>
    </row>
    <row r="11">
      <c r="A11" s="12" t="n">
        <v>46183</v>
      </c>
      <c r="B11" s="13" t="inlineStr">
        <is>
          <t>6月</t>
        </is>
      </c>
      <c r="C11" s="13" t="n">
        <v>10</v>
      </c>
      <c r="D11" s="13" t="inlineStr">
        <is>
          <t>水</t>
        </is>
      </c>
      <c r="E11" s="13" t="inlineStr">
        <is>
          <t>平日</t>
        </is>
      </c>
      <c r="F11" s="14" t="n"/>
      <c r="G11" s="13" t="n"/>
      <c r="H11" s="14" t="n"/>
      <c r="I11" s="13" t="inlineStr">
        <is>
          <t>未報告（LINEに記載なし）</t>
        </is>
      </c>
    </row>
    <row r="12">
      <c r="A12" s="12" t="n">
        <v>46184</v>
      </c>
      <c r="B12" s="13" t="inlineStr">
        <is>
          <t>6月</t>
        </is>
      </c>
      <c r="C12" s="13" t="n">
        <v>11</v>
      </c>
      <c r="D12" s="13" t="inlineStr">
        <is>
          <t>木</t>
        </is>
      </c>
      <c r="E12" s="13" t="inlineStr">
        <is>
          <t>平日</t>
        </is>
      </c>
      <c r="F12" s="14" t="n"/>
      <c r="G12" s="13" t="n"/>
      <c r="H12" s="14" t="n"/>
      <c r="I12" s="13" t="inlineStr">
        <is>
          <t>未報告（LINEに記載なし）</t>
        </is>
      </c>
    </row>
    <row r="13">
      <c r="A13" s="12" t="n">
        <v>46185</v>
      </c>
      <c r="B13" s="13" t="inlineStr">
        <is>
          <t>6月</t>
        </is>
      </c>
      <c r="C13" s="13" t="n">
        <v>12</v>
      </c>
      <c r="D13" s="13" t="inlineStr">
        <is>
          <t>金</t>
        </is>
      </c>
      <c r="E13" s="13" t="inlineStr">
        <is>
          <t>平日</t>
        </is>
      </c>
      <c r="F13" s="14" t="n"/>
      <c r="G13" s="13" t="n"/>
      <c r="H13" s="14" t="n"/>
      <c r="I13" s="13" t="inlineStr">
        <is>
          <t>未報告（LINEに記載なし）</t>
        </is>
      </c>
    </row>
    <row r="14">
      <c r="A14" s="12" t="n">
        <v>46186</v>
      </c>
      <c r="B14" s="13" t="inlineStr">
        <is>
          <t>6月</t>
        </is>
      </c>
      <c r="C14" s="13" t="n">
        <v>13</v>
      </c>
      <c r="D14" s="13" t="inlineStr">
        <is>
          <t>土</t>
        </is>
      </c>
      <c r="E14" s="13" t="inlineStr">
        <is>
          <t>土日祝</t>
        </is>
      </c>
      <c r="F14" s="14" t="n"/>
      <c r="G14" s="13" t="n"/>
      <c r="H14" s="14" t="n"/>
      <c r="I14" s="13" t="inlineStr">
        <is>
          <t>未報告（LINEに記載なし）</t>
        </is>
      </c>
    </row>
    <row r="15">
      <c r="A15" s="12" t="n">
        <v>46187</v>
      </c>
      <c r="B15" s="13" t="inlineStr">
        <is>
          <t>6月</t>
        </is>
      </c>
      <c r="C15" s="13" t="n">
        <v>14</v>
      </c>
      <c r="D15" s="13" t="inlineStr">
        <is>
          <t>日</t>
        </is>
      </c>
      <c r="E15" s="13" t="inlineStr">
        <is>
          <t>土日祝</t>
        </is>
      </c>
      <c r="F15" s="14" t="n"/>
      <c r="G15" s="13" t="n"/>
      <c r="H15" s="14" t="n"/>
      <c r="I15" s="13" t="inlineStr">
        <is>
          <t>未報告（LINEに記載なし）</t>
        </is>
      </c>
    </row>
    <row r="16">
      <c r="A16" s="12" t="n">
        <v>46188</v>
      </c>
      <c r="B16" s="13" t="inlineStr">
        <is>
          <t>6月</t>
        </is>
      </c>
      <c r="C16" s="13" t="n">
        <v>15</v>
      </c>
      <c r="D16" s="13" t="inlineStr">
        <is>
          <t>月</t>
        </is>
      </c>
      <c r="E16" s="13" t="inlineStr">
        <is>
          <t>平日</t>
        </is>
      </c>
      <c r="F16" s="14" t="n"/>
      <c r="G16" s="13" t="n"/>
      <c r="H16" s="14" t="n"/>
      <c r="I16" s="13" t="inlineStr">
        <is>
          <t>未報告（LINEに記載なし）</t>
        </is>
      </c>
    </row>
    <row r="17">
      <c r="A17" s="12" t="n">
        <v>46189</v>
      </c>
      <c r="B17" s="13" t="inlineStr">
        <is>
          <t>6月</t>
        </is>
      </c>
      <c r="C17" s="13" t="n">
        <v>16</v>
      </c>
      <c r="D17" s="13" t="inlineStr">
        <is>
          <t>火</t>
        </is>
      </c>
      <c r="E17" s="13" t="inlineStr">
        <is>
          <t>平日</t>
        </is>
      </c>
      <c r="F17" s="14" t="n"/>
      <c r="G17" s="13" t="n"/>
      <c r="H17" s="14" t="n"/>
      <c r="I17" s="13" t="inlineStr">
        <is>
          <t>未報告（LINEに記載なし）</t>
        </is>
      </c>
    </row>
    <row r="18">
      <c r="A18" s="12" t="n">
        <v>46190</v>
      </c>
      <c r="B18" s="13" t="inlineStr">
        <is>
          <t>6月</t>
        </is>
      </c>
      <c r="C18" s="13" t="n">
        <v>17</v>
      </c>
      <c r="D18" s="13" t="inlineStr">
        <is>
          <t>水</t>
        </is>
      </c>
      <c r="E18" s="13" t="inlineStr">
        <is>
          <t>平日</t>
        </is>
      </c>
      <c r="F18" s="14" t="n"/>
      <c r="G18" s="13" t="n"/>
      <c r="H18" s="14" t="n"/>
      <c r="I18" s="13" t="inlineStr">
        <is>
          <t>未報告（LINEに記載なし）</t>
        </is>
      </c>
    </row>
    <row r="19">
      <c r="A19" s="12" t="n">
        <v>46191</v>
      </c>
      <c r="B19" s="13" t="inlineStr">
        <is>
          <t>6月</t>
        </is>
      </c>
      <c r="C19" s="13" t="n">
        <v>18</v>
      </c>
      <c r="D19" s="13" t="inlineStr">
        <is>
          <t>木</t>
        </is>
      </c>
      <c r="E19" s="13" t="inlineStr">
        <is>
          <t>平日</t>
        </is>
      </c>
      <c r="F19" s="14" t="n"/>
      <c r="G19" s="13" t="n"/>
      <c r="H19" s="14" t="n"/>
      <c r="I19" s="13" t="inlineStr">
        <is>
          <t>未報告（LINEに記載なし）</t>
        </is>
      </c>
    </row>
    <row r="20">
      <c r="A20" s="12" t="n">
        <v>46192</v>
      </c>
      <c r="B20" s="13" t="inlineStr">
        <is>
          <t>6月</t>
        </is>
      </c>
      <c r="C20" s="13" t="n">
        <v>19</v>
      </c>
      <c r="D20" s="13" t="inlineStr">
        <is>
          <t>金</t>
        </is>
      </c>
      <c r="E20" s="13" t="inlineStr">
        <is>
          <t>平日</t>
        </is>
      </c>
      <c r="F20" s="14" t="n"/>
      <c r="G20" s="13" t="n"/>
      <c r="H20" s="14" t="n"/>
      <c r="I20" s="13" t="inlineStr">
        <is>
          <t>未報告（LINEに記載なし）</t>
        </is>
      </c>
    </row>
    <row r="21">
      <c r="A21" s="12" t="n">
        <v>46193</v>
      </c>
      <c r="B21" s="13" t="inlineStr">
        <is>
          <t>6月</t>
        </is>
      </c>
      <c r="C21" s="13" t="n">
        <v>20</v>
      </c>
      <c r="D21" s="13" t="inlineStr">
        <is>
          <t>土</t>
        </is>
      </c>
      <c r="E21" s="13" t="inlineStr">
        <is>
          <t>土日祝</t>
        </is>
      </c>
      <c r="F21" s="14" t="n"/>
      <c r="G21" s="13" t="n"/>
      <c r="H21" s="14" t="n"/>
      <c r="I21" s="13" t="inlineStr">
        <is>
          <t>未報告（LINEに記載なし）</t>
        </is>
      </c>
    </row>
    <row r="22">
      <c r="A22" s="15" t="n">
        <v>46194</v>
      </c>
      <c r="B22" s="16" t="inlineStr">
        <is>
          <t>6月</t>
        </is>
      </c>
      <c r="C22" s="16" t="n">
        <v>21</v>
      </c>
      <c r="D22" s="16" t="inlineStr">
        <is>
          <t>日</t>
        </is>
      </c>
      <c r="E22" s="16" t="inlineStr">
        <is>
          <t>土日祝</t>
        </is>
      </c>
      <c r="F22" s="17" t="n">
        <v>636370</v>
      </c>
      <c r="G22" s="16" t="inlineStr">
        <is>
          <t>棚橋</t>
        </is>
      </c>
      <c r="H22" s="17" t="n">
        <v>10476890</v>
      </c>
      <c r="I22" s="16" t="inlineStr"/>
    </row>
    <row r="23">
      <c r="A23" s="18" t="n">
        <v>46195</v>
      </c>
      <c r="B23" s="19" t="inlineStr">
        <is>
          <t>6月</t>
        </is>
      </c>
      <c r="C23" s="19" t="n">
        <v>22</v>
      </c>
      <c r="D23" s="19" t="inlineStr">
        <is>
          <t>月</t>
        </is>
      </c>
      <c r="E23" s="19" t="inlineStr">
        <is>
          <t>平日</t>
        </is>
      </c>
      <c r="F23" s="20" t="n">
        <v>386840</v>
      </c>
      <c r="G23" s="19" t="inlineStr">
        <is>
          <t>かりん</t>
        </is>
      </c>
      <c r="H23" s="20" t="n">
        <v>10863730</v>
      </c>
      <c r="I23" s="19" t="inlineStr"/>
    </row>
    <row r="24">
      <c r="A24" s="18" t="n">
        <v>46196</v>
      </c>
      <c r="B24" s="19" t="inlineStr">
        <is>
          <t>6月</t>
        </is>
      </c>
      <c r="C24" s="19" t="n">
        <v>23</v>
      </c>
      <c r="D24" s="19" t="inlineStr">
        <is>
          <t>火</t>
        </is>
      </c>
      <c r="E24" s="19" t="inlineStr">
        <is>
          <t>平日</t>
        </is>
      </c>
      <c r="F24" s="20" t="n">
        <v>377840</v>
      </c>
      <c r="G24" s="19" t="inlineStr">
        <is>
          <t>かりん</t>
        </is>
      </c>
      <c r="H24" s="20" t="n">
        <v>11241570</v>
      </c>
      <c r="I24" s="19" t="inlineStr"/>
    </row>
    <row r="25">
      <c r="A25" s="18" t="n">
        <v>46197</v>
      </c>
      <c r="B25" s="19" t="inlineStr">
        <is>
          <t>6月</t>
        </is>
      </c>
      <c r="C25" s="19" t="n">
        <v>24</v>
      </c>
      <c r="D25" s="19" t="inlineStr">
        <is>
          <t>水</t>
        </is>
      </c>
      <c r="E25" s="19" t="inlineStr">
        <is>
          <t>平日</t>
        </is>
      </c>
      <c r="F25" s="20" t="n">
        <v>428620</v>
      </c>
      <c r="G25" s="19" t="inlineStr">
        <is>
          <t>かりん</t>
        </is>
      </c>
      <c r="H25" s="20" t="n">
        <v>11670190</v>
      </c>
      <c r="I25" s="19" t="inlineStr"/>
    </row>
    <row r="26">
      <c r="A26" s="18" t="n">
        <v>46198</v>
      </c>
      <c r="B26" s="19" t="inlineStr">
        <is>
          <t>6月</t>
        </is>
      </c>
      <c r="C26" s="19" t="n">
        <v>25</v>
      </c>
      <c r="D26" s="19" t="inlineStr">
        <is>
          <t>木</t>
        </is>
      </c>
      <c r="E26" s="19" t="inlineStr">
        <is>
          <t>平日</t>
        </is>
      </c>
      <c r="F26" s="20" t="n">
        <v>374210</v>
      </c>
      <c r="G26" s="19" t="inlineStr">
        <is>
          <t>棚橋</t>
        </is>
      </c>
      <c r="H26" s="20" t="n">
        <v>12044400</v>
      </c>
      <c r="I26" s="19" t="inlineStr"/>
    </row>
    <row r="27">
      <c r="A27" s="18" t="n">
        <v>46199</v>
      </c>
      <c r="B27" s="19" t="inlineStr">
        <is>
          <t>6月</t>
        </is>
      </c>
      <c r="C27" s="19" t="n">
        <v>26</v>
      </c>
      <c r="D27" s="19" t="inlineStr">
        <is>
          <t>金</t>
        </is>
      </c>
      <c r="E27" s="19" t="inlineStr">
        <is>
          <t>平日</t>
        </is>
      </c>
      <c r="F27" s="20" t="n">
        <v>459300</v>
      </c>
      <c r="G27" s="19" t="inlineStr">
        <is>
          <t>棚橋</t>
        </is>
      </c>
      <c r="H27" s="20" t="n">
        <v>12503700</v>
      </c>
      <c r="I27" s="19" t="inlineStr"/>
    </row>
    <row r="28">
      <c r="A28" s="15" t="n">
        <v>46200</v>
      </c>
      <c r="B28" s="16" t="inlineStr">
        <is>
          <t>6月</t>
        </is>
      </c>
      <c r="C28" s="16" t="n">
        <v>27</v>
      </c>
      <c r="D28" s="16" t="inlineStr">
        <is>
          <t>土</t>
        </is>
      </c>
      <c r="E28" s="16" t="inlineStr">
        <is>
          <t>土日祝</t>
        </is>
      </c>
      <c r="F28" s="17" t="n">
        <v>716170</v>
      </c>
      <c r="G28" s="16" t="inlineStr">
        <is>
          <t>かりん</t>
        </is>
      </c>
      <c r="H28" s="17" t="n">
        <v>13219870</v>
      </c>
      <c r="I28" s="16" t="inlineStr"/>
    </row>
    <row r="29">
      <c r="A29" s="15" t="n">
        <v>46201</v>
      </c>
      <c r="B29" s="16" t="inlineStr">
        <is>
          <t>6月</t>
        </is>
      </c>
      <c r="C29" s="16" t="n">
        <v>28</v>
      </c>
      <c r="D29" s="16" t="inlineStr">
        <is>
          <t>日</t>
        </is>
      </c>
      <c r="E29" s="16" t="inlineStr">
        <is>
          <t>土日祝</t>
        </is>
      </c>
      <c r="F29" s="17" t="n">
        <v>707360</v>
      </c>
      <c r="G29" s="16" t="inlineStr">
        <is>
          <t>棚橋</t>
        </is>
      </c>
      <c r="H29" s="17" t="n">
        <v>13927230</v>
      </c>
      <c r="I29" s="16" t="inlineStr"/>
    </row>
    <row r="30">
      <c r="A30" s="18" t="n">
        <v>46202</v>
      </c>
      <c r="B30" s="19" t="inlineStr">
        <is>
          <t>6月</t>
        </is>
      </c>
      <c r="C30" s="19" t="n">
        <v>29</v>
      </c>
      <c r="D30" s="19" t="inlineStr">
        <is>
          <t>月</t>
        </is>
      </c>
      <c r="E30" s="19" t="inlineStr">
        <is>
          <t>平日</t>
        </is>
      </c>
      <c r="F30" s="20" t="n">
        <v>335720</v>
      </c>
      <c r="G30" s="19" t="inlineStr">
        <is>
          <t>棚橋</t>
        </is>
      </c>
      <c r="H30" s="20" t="n">
        <v>14262950</v>
      </c>
      <c r="I30" s="19" t="inlineStr"/>
    </row>
    <row r="31">
      <c r="A31" s="18" t="n">
        <v>46203</v>
      </c>
      <c r="B31" s="19" t="inlineStr">
        <is>
          <t>6月</t>
        </is>
      </c>
      <c r="C31" s="19" t="n">
        <v>30</v>
      </c>
      <c r="D31" s="19" t="inlineStr">
        <is>
          <t>火</t>
        </is>
      </c>
      <c r="E31" s="19" t="inlineStr">
        <is>
          <t>平日</t>
        </is>
      </c>
      <c r="F31" s="20" t="n">
        <v>304420</v>
      </c>
      <c r="G31" s="19" t="inlineStr">
        <is>
          <t>もたい</t>
        </is>
      </c>
      <c r="H31" s="20" t="n">
        <v>14567370</v>
      </c>
      <c r="I31" s="19" t="inlineStr"/>
    </row>
    <row r="32">
      <c r="A32" s="18" t="n">
        <v>46204</v>
      </c>
      <c r="B32" s="19" t="inlineStr">
        <is>
          <t>7月</t>
        </is>
      </c>
      <c r="C32" s="19" t="n">
        <v>1</v>
      </c>
      <c r="D32" s="19" t="inlineStr">
        <is>
          <t>水</t>
        </is>
      </c>
      <c r="E32" s="19" t="inlineStr">
        <is>
          <t>平日</t>
        </is>
      </c>
      <c r="F32" s="20" t="n">
        <v>454040</v>
      </c>
      <c r="G32" s="19" t="inlineStr">
        <is>
          <t>かりん</t>
        </is>
      </c>
      <c r="H32" s="20" t="n">
        <v>454040</v>
      </c>
      <c r="I32" s="19" t="inlineStr"/>
    </row>
    <row r="33">
      <c r="A33" s="18" t="n">
        <v>46205</v>
      </c>
      <c r="B33" s="19" t="inlineStr">
        <is>
          <t>7月</t>
        </is>
      </c>
      <c r="C33" s="19" t="n">
        <v>2</v>
      </c>
      <c r="D33" s="19" t="inlineStr">
        <is>
          <t>木</t>
        </is>
      </c>
      <c r="E33" s="19" t="inlineStr">
        <is>
          <t>平日</t>
        </is>
      </c>
      <c r="F33" s="20" t="n">
        <v>421760</v>
      </c>
      <c r="G33" s="19" t="inlineStr">
        <is>
          <t>もたい</t>
        </is>
      </c>
      <c r="H33" s="20" t="n">
        <v>875800</v>
      </c>
      <c r="I33" s="19" t="inlineStr"/>
    </row>
    <row r="34">
      <c r="A34" s="18" t="n">
        <v>46206</v>
      </c>
      <c r="B34" s="19" t="inlineStr">
        <is>
          <t>7月</t>
        </is>
      </c>
      <c r="C34" s="19" t="n">
        <v>3</v>
      </c>
      <c r="D34" s="19" t="inlineStr">
        <is>
          <t>金</t>
        </is>
      </c>
      <c r="E34" s="19" t="inlineStr">
        <is>
          <t>平日</t>
        </is>
      </c>
      <c r="F34" s="20" t="n">
        <v>526640</v>
      </c>
      <c r="G34" s="19" t="inlineStr">
        <is>
          <t>棚橋</t>
        </is>
      </c>
      <c r="H34" s="20" t="n">
        <v>1402440</v>
      </c>
      <c r="I34" s="19" t="inlineStr"/>
    </row>
    <row r="35">
      <c r="A35" s="15" t="n">
        <v>46207</v>
      </c>
      <c r="B35" s="16" t="inlineStr">
        <is>
          <t>7月</t>
        </is>
      </c>
      <c r="C35" s="16" t="n">
        <v>4</v>
      </c>
      <c r="D35" s="16" t="inlineStr">
        <is>
          <t>土</t>
        </is>
      </c>
      <c r="E35" s="16" t="inlineStr">
        <is>
          <t>土日祝</t>
        </is>
      </c>
      <c r="F35" s="17" t="n">
        <v>833600</v>
      </c>
      <c r="G35" s="16" t="inlineStr">
        <is>
          <t>棚橋</t>
        </is>
      </c>
      <c r="H35" s="17" t="n">
        <v>2175780</v>
      </c>
      <c r="I35" s="16" t="inlineStr"/>
    </row>
    <row r="36">
      <c r="A36" s="15" t="n">
        <v>46208</v>
      </c>
      <c r="B36" s="16" t="inlineStr">
        <is>
          <t>7月</t>
        </is>
      </c>
      <c r="C36" s="16" t="n">
        <v>5</v>
      </c>
      <c r="D36" s="16" t="inlineStr">
        <is>
          <t>日</t>
        </is>
      </c>
      <c r="E36" s="16" t="inlineStr">
        <is>
          <t>土日祝</t>
        </is>
      </c>
      <c r="F36" s="17" t="n">
        <v>717490</v>
      </c>
      <c r="G36" s="16" t="inlineStr">
        <is>
          <t>かりん</t>
        </is>
      </c>
      <c r="H36" s="17" t="n">
        <v>2893270</v>
      </c>
      <c r="I36" s="16" t="inlineStr"/>
    </row>
    <row r="37">
      <c r="A37" s="18" t="n">
        <v>46209</v>
      </c>
      <c r="B37" s="19" t="inlineStr">
        <is>
          <t>7月</t>
        </is>
      </c>
      <c r="C37" s="19" t="n">
        <v>6</v>
      </c>
      <c r="D37" s="19" t="inlineStr">
        <is>
          <t>月</t>
        </is>
      </c>
      <c r="E37" s="19" t="inlineStr">
        <is>
          <t>平日</t>
        </is>
      </c>
      <c r="F37" s="20" t="n">
        <v>294280</v>
      </c>
      <c r="G37" s="19" t="inlineStr">
        <is>
          <t>かりん</t>
        </is>
      </c>
      <c r="H37" s="20" t="n">
        <v>3187550</v>
      </c>
      <c r="I37" s="19" t="inlineStr"/>
    </row>
    <row r="38">
      <c r="A38" s="18" t="n">
        <v>46210</v>
      </c>
      <c r="B38" s="19" t="inlineStr">
        <is>
          <t>7月</t>
        </is>
      </c>
      <c r="C38" s="19" t="n">
        <v>7</v>
      </c>
      <c r="D38" s="19" t="inlineStr">
        <is>
          <t>火</t>
        </is>
      </c>
      <c r="E38" s="19" t="inlineStr">
        <is>
          <t>平日</t>
        </is>
      </c>
      <c r="F38" s="20" t="n">
        <v>332760</v>
      </c>
      <c r="G38" s="19" t="inlineStr">
        <is>
          <t>かりん</t>
        </is>
      </c>
      <c r="H38" s="20" t="n">
        <v>3520310</v>
      </c>
      <c r="I38" s="19" t="inlineStr"/>
    </row>
    <row r="39">
      <c r="A39" s="18" t="n">
        <v>46211</v>
      </c>
      <c r="B39" s="19" t="inlineStr">
        <is>
          <t>7月</t>
        </is>
      </c>
      <c r="C39" s="19" t="n">
        <v>8</v>
      </c>
      <c r="D39" s="19" t="inlineStr">
        <is>
          <t>水</t>
        </is>
      </c>
      <c r="E39" s="19" t="inlineStr">
        <is>
          <t>平日</t>
        </is>
      </c>
      <c r="F39" s="20" t="n">
        <v>375800</v>
      </c>
      <c r="G39" s="19" t="inlineStr">
        <is>
          <t>もたい</t>
        </is>
      </c>
      <c r="H39" s="20" t="n">
        <v>3953870</v>
      </c>
      <c r="I39" s="19" t="inlineStr"/>
    </row>
    <row r="40">
      <c r="A40" s="18" t="n">
        <v>46212</v>
      </c>
      <c r="B40" s="19" t="inlineStr">
        <is>
          <t>7月</t>
        </is>
      </c>
      <c r="C40" s="19" t="n">
        <v>9</v>
      </c>
      <c r="D40" s="19" t="inlineStr">
        <is>
          <t>木</t>
        </is>
      </c>
      <c r="E40" s="19" t="inlineStr">
        <is>
          <t>平日</t>
        </is>
      </c>
      <c r="F40" s="20" t="n">
        <v>425290</v>
      </c>
      <c r="G40" s="19" t="inlineStr">
        <is>
          <t>棚橋</t>
        </is>
      </c>
      <c r="H40" s="20" t="n">
        <v>4379160</v>
      </c>
      <c r="I40" s="19" t="inlineStr"/>
    </row>
    <row r="41">
      <c r="A41" s="18" t="n">
        <v>46213</v>
      </c>
      <c r="B41" s="19" t="inlineStr">
        <is>
          <t>7月</t>
        </is>
      </c>
      <c r="C41" s="19" t="n">
        <v>10</v>
      </c>
      <c r="D41" s="19" t="inlineStr">
        <is>
          <t>金</t>
        </is>
      </c>
      <c r="E41" s="19" t="inlineStr">
        <is>
          <t>平日</t>
        </is>
      </c>
      <c r="F41" s="20" t="n">
        <v>474820</v>
      </c>
      <c r="G41" s="19" t="inlineStr">
        <is>
          <t>かりん</t>
        </is>
      </c>
      <c r="H41" s="20" t="n">
        <v>4853980</v>
      </c>
      <c r="I41" s="19" t="inlineStr"/>
    </row>
    <row r="42">
      <c r="A42" s="15" t="n">
        <v>46214</v>
      </c>
      <c r="B42" s="16" t="inlineStr">
        <is>
          <t>7月</t>
        </is>
      </c>
      <c r="C42" s="16" t="n">
        <v>11</v>
      </c>
      <c r="D42" s="16" t="inlineStr">
        <is>
          <t>土</t>
        </is>
      </c>
      <c r="E42" s="16" t="inlineStr">
        <is>
          <t>土日祝</t>
        </is>
      </c>
      <c r="F42" s="17" t="n">
        <v>773400</v>
      </c>
      <c r="G42" s="16" t="inlineStr">
        <is>
          <t>かりん</t>
        </is>
      </c>
      <c r="H42" s="17" t="n">
        <v>5627380</v>
      </c>
      <c r="I42" s="16" t="inlineStr"/>
    </row>
    <row r="43">
      <c r="A43" s="15" t="n">
        <v>46215</v>
      </c>
      <c r="B43" s="16" t="inlineStr">
        <is>
          <t>7月</t>
        </is>
      </c>
      <c r="C43" s="16" t="n">
        <v>12</v>
      </c>
      <c r="D43" s="16" t="inlineStr">
        <is>
          <t>日</t>
        </is>
      </c>
      <c r="E43" s="16" t="inlineStr">
        <is>
          <t>土日祝</t>
        </is>
      </c>
      <c r="F43" s="17" t="n">
        <v>786550</v>
      </c>
      <c r="G43" s="16" t="inlineStr">
        <is>
          <t>かりん</t>
        </is>
      </c>
      <c r="H43" s="17" t="n">
        <v>6413938</v>
      </c>
      <c r="I43" s="16" t="inlineStr"/>
    </row>
    <row r="44">
      <c r="A44" s="18" t="n">
        <v>46216</v>
      </c>
      <c r="B44" s="19" t="inlineStr">
        <is>
          <t>7月</t>
        </is>
      </c>
      <c r="C44" s="19" t="n">
        <v>13</v>
      </c>
      <c r="D44" s="19" t="inlineStr">
        <is>
          <t>月</t>
        </is>
      </c>
      <c r="E44" s="19" t="inlineStr">
        <is>
          <t>平日</t>
        </is>
      </c>
      <c r="F44" s="20" t="n">
        <v>372650</v>
      </c>
      <c r="G44" s="19" t="inlineStr">
        <is>
          <t>もたい</t>
        </is>
      </c>
      <c r="H44" s="20" t="n">
        <v>6784580</v>
      </c>
      <c r="I44" s="19" t="inlineStr"/>
    </row>
    <row r="45">
      <c r="A45" s="18" t="n">
        <v>46217</v>
      </c>
      <c r="B45" s="19" t="inlineStr">
        <is>
          <t>7月</t>
        </is>
      </c>
      <c r="C45" s="19" t="n">
        <v>14</v>
      </c>
      <c r="D45" s="19" t="inlineStr">
        <is>
          <t>火</t>
        </is>
      </c>
      <c r="E45" s="19" t="inlineStr">
        <is>
          <t>平日</t>
        </is>
      </c>
      <c r="F45" s="20" t="n">
        <v>289840</v>
      </c>
      <c r="G45" s="19" t="inlineStr">
        <is>
          <t>かりん</t>
        </is>
      </c>
      <c r="H45" s="20" t="n">
        <v>7074420</v>
      </c>
      <c r="I45" s="19" t="inlineStr"/>
    </row>
    <row r="46">
      <c r="A46" s="18" t="n">
        <v>46218</v>
      </c>
      <c r="B46" s="19" t="inlineStr">
        <is>
          <t>7月</t>
        </is>
      </c>
      <c r="C46" s="19" t="n">
        <v>15</v>
      </c>
      <c r="D46" s="19" t="inlineStr">
        <is>
          <t>水</t>
        </is>
      </c>
      <c r="E46" s="19" t="inlineStr">
        <is>
          <t>平日</t>
        </is>
      </c>
      <c r="F46" s="20" t="n">
        <v>418780</v>
      </c>
      <c r="G46" s="19" t="inlineStr">
        <is>
          <t>もたい</t>
        </is>
      </c>
      <c r="H46" s="20" t="n">
        <v>7493200</v>
      </c>
      <c r="I46" s="19" t="inlineStr"/>
    </row>
    <row r="47">
      <c r="A47" s="18" t="n">
        <v>46219</v>
      </c>
      <c r="B47" s="19" t="inlineStr">
        <is>
          <t>7月</t>
        </is>
      </c>
      <c r="C47" s="19" t="n">
        <v>16</v>
      </c>
      <c r="D47" s="19" t="inlineStr">
        <is>
          <t>木</t>
        </is>
      </c>
      <c r="E47" s="19" t="inlineStr">
        <is>
          <t>平日</t>
        </is>
      </c>
      <c r="F47" s="20" t="n">
        <v>459900</v>
      </c>
      <c r="G47" s="19" t="inlineStr">
        <is>
          <t>もたい</t>
        </is>
      </c>
      <c r="H47" s="20" t="n">
        <v>7953100</v>
      </c>
      <c r="I47" s="19" t="inlineStr"/>
    </row>
    <row r="48">
      <c r="A48" s="18" t="n">
        <v>46220</v>
      </c>
      <c r="B48" s="19" t="inlineStr">
        <is>
          <t>7月</t>
        </is>
      </c>
      <c r="C48" s="19" t="n">
        <v>17</v>
      </c>
      <c r="D48" s="19" t="inlineStr">
        <is>
          <t>金</t>
        </is>
      </c>
      <c r="E48" s="19" t="inlineStr">
        <is>
          <t>平日</t>
        </is>
      </c>
      <c r="F48" s="20" t="n">
        <v>493180</v>
      </c>
      <c r="G48" s="19" t="inlineStr">
        <is>
          <t>もたい</t>
        </is>
      </c>
      <c r="H48" s="20" t="n">
        <v>8446280</v>
      </c>
      <c r="I48" s="19" t="inlineStr"/>
    </row>
    <row r="49">
      <c r="A49" s="15" t="n">
        <v>46221</v>
      </c>
      <c r="B49" s="16" t="inlineStr">
        <is>
          <t>7月</t>
        </is>
      </c>
      <c r="C49" s="16" t="n">
        <v>18</v>
      </c>
      <c r="D49" s="16" t="inlineStr">
        <is>
          <t>土</t>
        </is>
      </c>
      <c r="E49" s="16" t="inlineStr">
        <is>
          <t>土日祝</t>
        </is>
      </c>
      <c r="F49" s="17" t="n">
        <v>652640</v>
      </c>
      <c r="G49" s="16" t="inlineStr">
        <is>
          <t>棚橋</t>
        </is>
      </c>
      <c r="H49" s="17" t="n">
        <v>9098920</v>
      </c>
      <c r="I49" s="16" t="inlineStr"/>
    </row>
    <row r="50">
      <c r="A50" s="15" t="n">
        <v>46222</v>
      </c>
      <c r="B50" s="16" t="inlineStr">
        <is>
          <t>7月</t>
        </is>
      </c>
      <c r="C50" s="16" t="n">
        <v>19</v>
      </c>
      <c r="D50" s="16" t="inlineStr">
        <is>
          <t>日</t>
        </is>
      </c>
      <c r="E50" s="16" t="inlineStr">
        <is>
          <t>土日祝</t>
        </is>
      </c>
      <c r="F50" s="17" t="n">
        <v>737850</v>
      </c>
      <c r="G50" s="16" t="inlineStr">
        <is>
          <t>もたい</t>
        </is>
      </c>
      <c r="H50" s="17" t="n">
        <v>9836770</v>
      </c>
      <c r="I50" s="16" t="inlineStr"/>
    </row>
    <row r="51">
      <c r="A51" s="15" t="n">
        <v>46223</v>
      </c>
      <c r="B51" s="16" t="inlineStr">
        <is>
          <t>7月</t>
        </is>
      </c>
      <c r="C51" s="16" t="n">
        <v>20</v>
      </c>
      <c r="D51" s="16" t="inlineStr">
        <is>
          <t>月</t>
        </is>
      </c>
      <c r="E51" s="16" t="inlineStr">
        <is>
          <t>土日祝</t>
        </is>
      </c>
      <c r="F51" s="17" t="n">
        <v>597070</v>
      </c>
      <c r="G51" s="16" t="inlineStr">
        <is>
          <t>棚橋</t>
        </is>
      </c>
      <c r="H51" s="17" t="n">
        <v>10342730</v>
      </c>
      <c r="I51" s="16" t="inlineStr"/>
    </row>
    <row r="52">
      <c r="A52" s="12" t="n">
        <v>46224</v>
      </c>
      <c r="B52" s="13" t="inlineStr">
        <is>
          <t>7月</t>
        </is>
      </c>
      <c r="C52" s="13" t="n">
        <v>21</v>
      </c>
      <c r="D52" s="13" t="inlineStr">
        <is>
          <t>火</t>
        </is>
      </c>
      <c r="E52" s="13" t="inlineStr">
        <is>
          <t>平日</t>
        </is>
      </c>
      <c r="F52" s="14" t="n"/>
      <c r="G52" s="13" t="n"/>
      <c r="H52" s="14" t="n"/>
      <c r="I52" s="13" t="inlineStr">
        <is>
          <t>未報告（LINEに記載なし）</t>
        </is>
      </c>
    </row>
    <row r="53">
      <c r="A53" s="12" t="n">
        <v>46225</v>
      </c>
      <c r="B53" s="13" t="inlineStr">
        <is>
          <t>7月</t>
        </is>
      </c>
      <c r="C53" s="13" t="n">
        <v>22</v>
      </c>
      <c r="D53" s="13" t="inlineStr">
        <is>
          <t>水</t>
        </is>
      </c>
      <c r="E53" s="13" t="inlineStr">
        <is>
          <t>平日</t>
        </is>
      </c>
      <c r="F53" s="14" t="n"/>
      <c r="G53" s="13" t="n"/>
      <c r="H53" s="14" t="n"/>
      <c r="I53" s="13" t="inlineStr">
        <is>
          <t>未報告（LINEに記載なし）</t>
        </is>
      </c>
    </row>
    <row r="54">
      <c r="A54" s="12" t="n">
        <v>46226</v>
      </c>
      <c r="B54" s="13" t="inlineStr">
        <is>
          <t>7月</t>
        </is>
      </c>
      <c r="C54" s="13" t="n">
        <v>23</v>
      </c>
      <c r="D54" s="13" t="inlineStr">
        <is>
          <t>木</t>
        </is>
      </c>
      <c r="E54" s="13" t="inlineStr">
        <is>
          <t>平日</t>
        </is>
      </c>
      <c r="F54" s="14" t="n"/>
      <c r="G54" s="13" t="n"/>
      <c r="H54" s="14" t="n"/>
      <c r="I54" s="13" t="inlineStr">
        <is>
          <t>未報告（LINEに記載なし）</t>
        </is>
      </c>
    </row>
    <row r="55">
      <c r="A55" s="12" t="n">
        <v>46227</v>
      </c>
      <c r="B55" s="13" t="inlineStr">
        <is>
          <t>7月</t>
        </is>
      </c>
      <c r="C55" s="13" t="n">
        <v>24</v>
      </c>
      <c r="D55" s="13" t="inlineStr">
        <is>
          <t>金</t>
        </is>
      </c>
      <c r="E55" s="13" t="inlineStr">
        <is>
          <t>平日</t>
        </is>
      </c>
      <c r="F55" s="14" t="n"/>
      <c r="G55" s="13" t="n"/>
      <c r="H55" s="14" t="n"/>
      <c r="I55" s="13" t="inlineStr">
        <is>
          <t>未報告（LINEに記載なし）</t>
        </is>
      </c>
    </row>
    <row r="56">
      <c r="A56" s="15" t="n">
        <v>46228</v>
      </c>
      <c r="B56" s="16" t="inlineStr">
        <is>
          <t>7月</t>
        </is>
      </c>
      <c r="C56" s="16" t="n">
        <v>25</v>
      </c>
      <c r="D56" s="16" t="inlineStr">
        <is>
          <t>土</t>
        </is>
      </c>
      <c r="E56" s="16" t="inlineStr">
        <is>
          <t>土日祝</t>
        </is>
      </c>
      <c r="F56" s="17" t="n">
        <v>615300</v>
      </c>
      <c r="G56" s="16" t="inlineStr">
        <is>
          <t>もたい</t>
        </is>
      </c>
      <c r="H56" s="17" t="n">
        <v>12654100</v>
      </c>
      <c r="I56" s="16" t="inlineStr"/>
    </row>
    <row r="57">
      <c r="A57" s="15" t="n">
        <v>46229</v>
      </c>
      <c r="B57" s="16" t="inlineStr">
        <is>
          <t>7月</t>
        </is>
      </c>
      <c r="C57" s="16" t="n">
        <v>26</v>
      </c>
      <c r="D57" s="16" t="inlineStr">
        <is>
          <t>日</t>
        </is>
      </c>
      <c r="E57" s="16" t="inlineStr">
        <is>
          <t>土日祝</t>
        </is>
      </c>
      <c r="F57" s="17" t="n">
        <v>695890</v>
      </c>
      <c r="G57" s="16" t="inlineStr">
        <is>
          <t>大後戸</t>
        </is>
      </c>
      <c r="H57" s="17" t="n">
        <v>13369100</v>
      </c>
      <c r="I57" s="16" t="inlineStr">
        <is>
          <t>当初965,890で報告→7/27に695,890へ訂正（訂正文では「6月26日」と記載）</t>
        </is>
      </c>
    </row>
    <row r="58">
      <c r="A58" s="18" t="n">
        <v>46230</v>
      </c>
      <c r="B58" s="19" t="inlineStr">
        <is>
          <t>7月</t>
        </is>
      </c>
      <c r="C58" s="19" t="n">
        <v>27</v>
      </c>
      <c r="D58" s="19" t="inlineStr">
        <is>
          <t>月</t>
        </is>
      </c>
      <c r="E58" s="19" t="inlineStr">
        <is>
          <t>平日</t>
        </is>
      </c>
      <c r="F58" s="20" t="n">
        <v>395610</v>
      </c>
      <c r="G58" s="19" t="inlineStr">
        <is>
          <t>棚橋</t>
        </is>
      </c>
      <c r="H58" s="20" t="n">
        <v>13764710</v>
      </c>
      <c r="I58" s="19" t="inlineStr"/>
    </row>
    <row r="59">
      <c r="A59" s="18" t="n">
        <v>46231</v>
      </c>
      <c r="B59" s="19" t="inlineStr">
        <is>
          <t>7月</t>
        </is>
      </c>
      <c r="C59" s="19" t="n">
        <v>28</v>
      </c>
      <c r="D59" s="19" t="inlineStr">
        <is>
          <t>火</t>
        </is>
      </c>
      <c r="E59" s="19" t="inlineStr">
        <is>
          <t>平日</t>
        </is>
      </c>
      <c r="F59" s="20" t="n">
        <v>357540</v>
      </c>
      <c r="G59" s="19" t="inlineStr">
        <is>
          <t>大後戸</t>
        </is>
      </c>
      <c r="H59" s="20" t="n">
        <v>14122250</v>
      </c>
      <c r="I59" s="19" t="inlineStr"/>
    </row>
    <row r="60">
      <c r="A60" s="18" t="n">
        <v>46232</v>
      </c>
      <c r="B60" s="19" t="inlineStr">
        <is>
          <t>7月</t>
        </is>
      </c>
      <c r="C60" s="19" t="n">
        <v>29</v>
      </c>
      <c r="D60" s="19" t="inlineStr">
        <is>
          <t>水</t>
        </is>
      </c>
      <c r="E60" s="19" t="inlineStr">
        <is>
          <t>平日</t>
        </is>
      </c>
      <c r="F60" s="20" t="n">
        <v>383270</v>
      </c>
      <c r="G60" s="19" t="inlineStr">
        <is>
          <t>棚橋</t>
        </is>
      </c>
      <c r="H60" s="20" t="n">
        <v>14505520</v>
      </c>
      <c r="I60" s="19" t="inlineStr"/>
    </row>
    <row r="61">
      <c r="A61" s="18" t="n">
        <v>46233</v>
      </c>
      <c r="B61" s="19" t="inlineStr">
        <is>
          <t>7月</t>
        </is>
      </c>
      <c r="C61" s="19" t="n">
        <v>30</v>
      </c>
      <c r="D61" s="19" t="inlineStr">
        <is>
          <t>木</t>
        </is>
      </c>
      <c r="E61" s="19" t="inlineStr">
        <is>
          <t>平日</t>
        </is>
      </c>
      <c r="F61" s="20" t="n">
        <v>397380</v>
      </c>
      <c r="G61" s="19" t="inlineStr">
        <is>
          <t>もたい</t>
        </is>
      </c>
      <c r="H61" s="20" t="n">
        <v>14902900</v>
      </c>
      <c r="I61" s="19" t="inlineStr"/>
    </row>
    <row r="62">
      <c r="A62" s="18" t="n">
        <v>46234</v>
      </c>
      <c r="B62" s="19" t="inlineStr">
        <is>
          <t>7月</t>
        </is>
      </c>
      <c r="C62" s="19" t="n">
        <v>31</v>
      </c>
      <c r="D62" s="19" t="inlineStr">
        <is>
          <t>金</t>
        </is>
      </c>
      <c r="E62" s="19" t="inlineStr">
        <is>
          <t>平日</t>
        </is>
      </c>
      <c r="F62" s="20" t="n">
        <v>533650</v>
      </c>
      <c r="G62" s="19" t="inlineStr">
        <is>
          <t>大後戸</t>
        </is>
      </c>
      <c r="H62" s="20" t="n">
        <v>15436550</v>
      </c>
      <c r="I62" s="19" t="inlineStr"/>
    </row>
    <row r="63">
      <c r="A63" s="15" t="n">
        <v>46235</v>
      </c>
      <c r="B63" s="16" t="inlineStr">
        <is>
          <t>8月</t>
        </is>
      </c>
      <c r="C63" s="16" t="n">
        <v>1</v>
      </c>
      <c r="D63" s="16" t="inlineStr">
        <is>
          <t>土</t>
        </is>
      </c>
      <c r="E63" s="16" t="inlineStr">
        <is>
          <t>土日祝</t>
        </is>
      </c>
      <c r="F63" s="17" t="n">
        <v>664790</v>
      </c>
      <c r="G63" s="16" t="inlineStr">
        <is>
          <t>大後戸</t>
        </is>
      </c>
      <c r="H63" s="17" t="n">
        <v>664790</v>
      </c>
      <c r="I63" s="16" t="inlineStr"/>
    </row>
    <row r="64">
      <c r="A64" s="15" t="n">
        <v>46236</v>
      </c>
      <c r="B64" s="16" t="inlineStr">
        <is>
          <t>8月</t>
        </is>
      </c>
      <c r="C64" s="16" t="n">
        <v>2</v>
      </c>
      <c r="D64" s="16" t="inlineStr">
        <is>
          <t>日</t>
        </is>
      </c>
      <c r="E64" s="16" t="inlineStr">
        <is>
          <t>土日祝</t>
        </is>
      </c>
      <c r="F64" s="17" t="n">
        <v>711580</v>
      </c>
      <c r="G64" s="16" t="inlineStr">
        <is>
          <t>大後戸</t>
        </is>
      </c>
      <c r="H64" s="17" t="n">
        <v>1376370</v>
      </c>
      <c r="I64" s="16" t="inlineStr"/>
    </row>
    <row r="65">
      <c r="A65" s="18" t="n">
        <v>46237</v>
      </c>
      <c r="B65" s="19" t="inlineStr">
        <is>
          <t>8月</t>
        </is>
      </c>
      <c r="C65" s="19" t="n">
        <v>3</v>
      </c>
      <c r="D65" s="19" t="inlineStr">
        <is>
          <t>月</t>
        </is>
      </c>
      <c r="E65" s="19" t="inlineStr">
        <is>
          <t>平日</t>
        </is>
      </c>
      <c r="F65" s="20" t="n">
        <v>363910</v>
      </c>
      <c r="G65" s="19" t="inlineStr">
        <is>
          <t>もたい</t>
        </is>
      </c>
      <c r="H65" s="20" t="n">
        <v>1740280</v>
      </c>
      <c r="I65" s="19" t="inlineStr"/>
    </row>
    <row r="66">
      <c r="A66" s="18" t="n">
        <v>46238</v>
      </c>
      <c r="B66" s="19" t="inlineStr">
        <is>
          <t>8月</t>
        </is>
      </c>
      <c r="C66" s="19" t="n">
        <v>4</v>
      </c>
      <c r="D66" s="19" t="inlineStr">
        <is>
          <t>火</t>
        </is>
      </c>
      <c r="E66" s="19" t="inlineStr">
        <is>
          <t>平日</t>
        </is>
      </c>
      <c r="F66" s="20" t="n">
        <v>360990</v>
      </c>
      <c r="G66" s="19" t="inlineStr">
        <is>
          <t>大後戸</t>
        </is>
      </c>
      <c r="H66" s="20" t="n">
        <v>2101270</v>
      </c>
      <c r="I66" s="19" t="inlineStr"/>
    </row>
    <row r="67">
      <c r="A67" s="18" t="n">
        <v>46239</v>
      </c>
      <c r="B67" s="19" t="inlineStr">
        <is>
          <t>8月</t>
        </is>
      </c>
      <c r="C67" s="19" t="n">
        <v>5</v>
      </c>
      <c r="D67" s="19" t="inlineStr">
        <is>
          <t>水</t>
        </is>
      </c>
      <c r="E67" s="19" t="inlineStr">
        <is>
          <t>平日</t>
        </is>
      </c>
      <c r="F67" s="20" t="n">
        <v>383160</v>
      </c>
      <c r="G67" s="19" t="inlineStr">
        <is>
          <t>大後戸</t>
        </is>
      </c>
      <c r="H67" s="20" t="n">
        <v>2484430</v>
      </c>
      <c r="I67" s="19" t="inlineStr"/>
    </row>
    <row r="68">
      <c r="A68" s="18" t="n">
        <v>46240</v>
      </c>
      <c r="B68" s="19" t="inlineStr">
        <is>
          <t>8月</t>
        </is>
      </c>
      <c r="C68" s="19" t="n">
        <v>6</v>
      </c>
      <c r="D68" s="19" t="inlineStr">
        <is>
          <t>木</t>
        </is>
      </c>
      <c r="E68" s="19" t="inlineStr">
        <is>
          <t>平日</t>
        </is>
      </c>
      <c r="F68" s="20" t="n">
        <v>388830</v>
      </c>
      <c r="G68" s="19" t="inlineStr">
        <is>
          <t>もたい</t>
        </is>
      </c>
      <c r="H68" s="20" t="n">
        <v>2873260</v>
      </c>
      <c r="I68" s="19" t="inlineStr"/>
    </row>
    <row r="69">
      <c r="A69" s="18" t="n">
        <v>46241</v>
      </c>
      <c r="B69" s="19" t="inlineStr">
        <is>
          <t>8月</t>
        </is>
      </c>
      <c r="C69" s="19" t="n">
        <v>7</v>
      </c>
      <c r="D69" s="19" t="inlineStr">
        <is>
          <t>金</t>
        </is>
      </c>
      <c r="E69" s="19" t="inlineStr">
        <is>
          <t>平日</t>
        </is>
      </c>
      <c r="F69" s="20" t="n">
        <v>449020</v>
      </c>
      <c r="G69" s="19" t="inlineStr">
        <is>
          <t>もたい</t>
        </is>
      </c>
      <c r="H69" s="20" t="n">
        <v>3322280</v>
      </c>
      <c r="I69" s="19" t="inlineStr"/>
    </row>
    <row r="70">
      <c r="A70" s="12" t="n">
        <v>46242</v>
      </c>
      <c r="B70" s="13" t="inlineStr">
        <is>
          <t>8月</t>
        </is>
      </c>
      <c r="C70" s="13" t="n">
        <v>8</v>
      </c>
      <c r="D70" s="13" t="inlineStr">
        <is>
          <t>土</t>
        </is>
      </c>
      <c r="E70" s="13" t="inlineStr">
        <is>
          <t>土日祝</t>
        </is>
      </c>
      <c r="F70" s="14" t="n"/>
      <c r="G70" s="13" t="n"/>
      <c r="H70" s="14" t="n"/>
      <c r="I70" s="13" t="inlineStr">
        <is>
          <t>未報告（LINEに記載なし）</t>
        </is>
      </c>
    </row>
    <row r="71">
      <c r="A71" s="12" t="n">
        <v>46243</v>
      </c>
      <c r="B71" s="13" t="inlineStr">
        <is>
          <t>8月</t>
        </is>
      </c>
      <c r="C71" s="13" t="n">
        <v>9</v>
      </c>
      <c r="D71" s="13" t="inlineStr">
        <is>
          <t>日</t>
        </is>
      </c>
      <c r="E71" s="13" t="inlineStr">
        <is>
          <t>土日祝</t>
        </is>
      </c>
      <c r="F71" s="14" t="n"/>
      <c r="G71" s="13" t="n"/>
      <c r="H71" s="14" t="n"/>
      <c r="I71" s="13" t="inlineStr">
        <is>
          <t>未報告（LINEに記載なし）</t>
        </is>
      </c>
    </row>
    <row r="72">
      <c r="A72" s="12" t="n">
        <v>46244</v>
      </c>
      <c r="B72" s="13" t="inlineStr">
        <is>
          <t>8月</t>
        </is>
      </c>
      <c r="C72" s="13" t="n">
        <v>10</v>
      </c>
      <c r="D72" s="13" t="inlineStr">
        <is>
          <t>月</t>
        </is>
      </c>
      <c r="E72" s="13" t="inlineStr">
        <is>
          <t>平日</t>
        </is>
      </c>
      <c r="F72" s="14" t="n"/>
      <c r="G72" s="13" t="n"/>
      <c r="H72" s="14" t="n"/>
      <c r="I72" s="13" t="inlineStr">
        <is>
          <t>未報告（LINEに記載なし）</t>
        </is>
      </c>
    </row>
    <row r="73">
      <c r="A73" s="12" t="n">
        <v>46245</v>
      </c>
      <c r="B73" s="13" t="inlineStr">
        <is>
          <t>8月</t>
        </is>
      </c>
      <c r="C73" s="13" t="n">
        <v>11</v>
      </c>
      <c r="D73" s="13" t="inlineStr">
        <is>
          <t>火</t>
        </is>
      </c>
      <c r="E73" s="13" t="inlineStr">
        <is>
          <t>平日</t>
        </is>
      </c>
      <c r="F73" s="14" t="n"/>
      <c r="G73" s="13" t="n"/>
      <c r="H73" s="14" t="n"/>
      <c r="I73" s="13" t="inlineStr">
        <is>
          <t>未報告（LINEに記載なし）</t>
        </is>
      </c>
    </row>
    <row r="74">
      <c r="A74" s="12" t="n">
        <v>46246</v>
      </c>
      <c r="B74" s="13" t="inlineStr">
        <is>
          <t>8月</t>
        </is>
      </c>
      <c r="C74" s="13" t="n">
        <v>12</v>
      </c>
      <c r="D74" s="13" t="inlineStr">
        <is>
          <t>水</t>
        </is>
      </c>
      <c r="E74" s="13" t="inlineStr">
        <is>
          <t>平日</t>
        </is>
      </c>
      <c r="F74" s="14" t="n"/>
      <c r="G74" s="13" t="n"/>
      <c r="H74" s="14" t="n"/>
      <c r="I74" s="13" t="inlineStr">
        <is>
          <t>未報告（LINEに記載なし）</t>
        </is>
      </c>
    </row>
    <row r="75">
      <c r="A75" s="12" t="n">
        <v>46247</v>
      </c>
      <c r="B75" s="13" t="inlineStr">
        <is>
          <t>8月</t>
        </is>
      </c>
      <c r="C75" s="13" t="n">
        <v>13</v>
      </c>
      <c r="D75" s="13" t="inlineStr">
        <is>
          <t>木</t>
        </is>
      </c>
      <c r="E75" s="13" t="inlineStr">
        <is>
          <t>平日</t>
        </is>
      </c>
      <c r="F75" s="14" t="n"/>
      <c r="G75" s="13" t="n"/>
      <c r="H75" s="14" t="n"/>
      <c r="I75" s="13" t="inlineStr">
        <is>
          <t>未報告（LINEに記載なし）</t>
        </is>
      </c>
    </row>
    <row r="76">
      <c r="A76" s="12" t="n">
        <v>46248</v>
      </c>
      <c r="B76" s="13" t="inlineStr">
        <is>
          <t>8月</t>
        </is>
      </c>
      <c r="C76" s="13" t="n">
        <v>14</v>
      </c>
      <c r="D76" s="13" t="inlineStr">
        <is>
          <t>金</t>
        </is>
      </c>
      <c r="E76" s="13" t="inlineStr">
        <is>
          <t>平日</t>
        </is>
      </c>
      <c r="F76" s="14" t="n"/>
      <c r="G76" s="13" t="n"/>
      <c r="H76" s="14" t="n"/>
      <c r="I76" s="13" t="inlineStr">
        <is>
          <t>未報告（LINEに記載なし）</t>
        </is>
      </c>
    </row>
    <row r="77">
      <c r="A77" s="12" t="n">
        <v>46249</v>
      </c>
      <c r="B77" s="13" t="inlineStr">
        <is>
          <t>8月</t>
        </is>
      </c>
      <c r="C77" s="13" t="n">
        <v>15</v>
      </c>
      <c r="D77" s="13" t="inlineStr">
        <is>
          <t>土</t>
        </is>
      </c>
      <c r="E77" s="13" t="inlineStr">
        <is>
          <t>土日祝</t>
        </is>
      </c>
      <c r="F77" s="14" t="n"/>
      <c r="G77" s="13" t="n"/>
      <c r="H77" s="14" t="n"/>
      <c r="I77" s="13" t="inlineStr">
        <is>
          <t>未報告（LINEに記載なし）</t>
        </is>
      </c>
    </row>
    <row r="78">
      <c r="A78" s="12" t="n">
        <v>46250</v>
      </c>
      <c r="B78" s="13" t="inlineStr">
        <is>
          <t>8月</t>
        </is>
      </c>
      <c r="C78" s="13" t="n">
        <v>16</v>
      </c>
      <c r="D78" s="13" t="inlineStr">
        <is>
          <t>日</t>
        </is>
      </c>
      <c r="E78" s="13" t="inlineStr">
        <is>
          <t>土日祝</t>
        </is>
      </c>
      <c r="F78" s="14" t="n"/>
      <c r="G78" s="13" t="n"/>
      <c r="H78" s="14" t="n"/>
      <c r="I78" s="13" t="inlineStr">
        <is>
          <t>未報告（LINEに記載なし）</t>
        </is>
      </c>
    </row>
    <row r="79">
      <c r="A79" s="12" t="n">
        <v>46251</v>
      </c>
      <c r="B79" s="13" t="inlineStr">
        <is>
          <t>8月</t>
        </is>
      </c>
      <c r="C79" s="13" t="n">
        <v>17</v>
      </c>
      <c r="D79" s="13" t="inlineStr">
        <is>
          <t>月</t>
        </is>
      </c>
      <c r="E79" s="13" t="inlineStr">
        <is>
          <t>平日</t>
        </is>
      </c>
      <c r="F79" s="14" t="n"/>
      <c r="G79" s="13" t="n"/>
      <c r="H79" s="14" t="n"/>
      <c r="I79" s="13" t="inlineStr">
        <is>
          <t>未報告（LINEに記載なし）</t>
        </is>
      </c>
    </row>
    <row r="80">
      <c r="A80" s="12" t="n">
        <v>46252</v>
      </c>
      <c r="B80" s="13" t="inlineStr">
        <is>
          <t>8月</t>
        </is>
      </c>
      <c r="C80" s="13" t="n">
        <v>18</v>
      </c>
      <c r="D80" s="13" t="inlineStr">
        <is>
          <t>火</t>
        </is>
      </c>
      <c r="E80" s="13" t="inlineStr">
        <is>
          <t>平日</t>
        </is>
      </c>
      <c r="F80" s="14" t="n"/>
      <c r="G80" s="13" t="n"/>
      <c r="H80" s="14" t="n"/>
      <c r="I80" s="13" t="inlineStr">
        <is>
          <t>未報告（LINEに記載なし）</t>
        </is>
      </c>
    </row>
    <row r="81">
      <c r="A81" s="12" t="n">
        <v>46253</v>
      </c>
      <c r="B81" s="13" t="inlineStr">
        <is>
          <t>8月</t>
        </is>
      </c>
      <c r="C81" s="13" t="n">
        <v>19</v>
      </c>
      <c r="D81" s="13" t="inlineStr">
        <is>
          <t>水</t>
        </is>
      </c>
      <c r="E81" s="13" t="inlineStr">
        <is>
          <t>平日</t>
        </is>
      </c>
      <c r="F81" s="14" t="n"/>
      <c r="G81" s="13" t="n"/>
      <c r="H81" s="14" t="n"/>
      <c r="I81" s="13" t="inlineStr">
        <is>
          <t>未報告（LINEに記載なし）</t>
        </is>
      </c>
    </row>
    <row r="82">
      <c r="A82" s="12" t="n">
        <v>46254</v>
      </c>
      <c r="B82" s="13" t="inlineStr">
        <is>
          <t>8月</t>
        </is>
      </c>
      <c r="C82" s="13" t="n">
        <v>20</v>
      </c>
      <c r="D82" s="13" t="inlineStr">
        <is>
          <t>木</t>
        </is>
      </c>
      <c r="E82" s="13" t="inlineStr">
        <is>
          <t>平日</t>
        </is>
      </c>
      <c r="F82" s="14" t="n"/>
      <c r="G82" s="13" t="n"/>
      <c r="H82" s="14" t="n"/>
      <c r="I82" s="13" t="inlineStr">
        <is>
          <t>未報告（LINEに記載なし）</t>
        </is>
      </c>
    </row>
    <row r="83">
      <c r="A83" s="12" t="n">
        <v>46255</v>
      </c>
      <c r="B83" s="13" t="inlineStr">
        <is>
          <t>8月</t>
        </is>
      </c>
      <c r="C83" s="13" t="n">
        <v>21</v>
      </c>
      <c r="D83" s="13" t="inlineStr">
        <is>
          <t>金</t>
        </is>
      </c>
      <c r="E83" s="13" t="inlineStr">
        <is>
          <t>平日</t>
        </is>
      </c>
      <c r="F83" s="14" t="n"/>
      <c r="G83" s="13" t="n"/>
      <c r="H83" s="14" t="n"/>
      <c r="I83" s="13" t="inlineStr">
        <is>
          <t>未報告（LINEに記載なし）</t>
        </is>
      </c>
    </row>
    <row r="84">
      <c r="A84" s="12" t="n">
        <v>46256</v>
      </c>
      <c r="B84" s="13" t="inlineStr">
        <is>
          <t>8月</t>
        </is>
      </c>
      <c r="C84" s="13" t="n">
        <v>22</v>
      </c>
      <c r="D84" s="13" t="inlineStr">
        <is>
          <t>土</t>
        </is>
      </c>
      <c r="E84" s="13" t="inlineStr">
        <is>
          <t>土日祝</t>
        </is>
      </c>
      <c r="F84" s="14" t="n"/>
      <c r="G84" s="13" t="n"/>
      <c r="H84" s="14" t="n"/>
      <c r="I84" s="13" t="inlineStr">
        <is>
          <t>未報告（LINEに記載なし）</t>
        </is>
      </c>
    </row>
    <row r="85">
      <c r="A85" s="12" t="n">
        <v>46257</v>
      </c>
      <c r="B85" s="13" t="inlineStr">
        <is>
          <t>8月</t>
        </is>
      </c>
      <c r="C85" s="13" t="n">
        <v>23</v>
      </c>
      <c r="D85" s="13" t="inlineStr">
        <is>
          <t>日</t>
        </is>
      </c>
      <c r="E85" s="13" t="inlineStr">
        <is>
          <t>土日祝</t>
        </is>
      </c>
      <c r="F85" s="14" t="n"/>
      <c r="G85" s="13" t="n"/>
      <c r="H85" s="14" t="n"/>
      <c r="I85" s="13" t="inlineStr">
        <is>
          <t>未報告（LINEに記載なし）</t>
        </is>
      </c>
    </row>
    <row r="86">
      <c r="A86" s="18" t="n">
        <v>46258</v>
      </c>
      <c r="B86" s="19" t="inlineStr">
        <is>
          <t>8月</t>
        </is>
      </c>
      <c r="C86" s="19" t="n">
        <v>24</v>
      </c>
      <c r="D86" s="19" t="inlineStr">
        <is>
          <t>月</t>
        </is>
      </c>
      <c r="E86" s="19" t="inlineStr">
        <is>
          <t>平日</t>
        </is>
      </c>
      <c r="F86" s="20" t="n">
        <v>268730</v>
      </c>
      <c r="G86" s="19" t="inlineStr">
        <is>
          <t>もたい</t>
        </is>
      </c>
      <c r="H86" s="20" t="n">
        <v>11007750</v>
      </c>
      <c r="I86" s="19" t="inlineStr"/>
    </row>
    <row r="87">
      <c r="A87" s="18" t="n">
        <v>46259</v>
      </c>
      <c r="B87" s="19" t="inlineStr">
        <is>
          <t>8月</t>
        </is>
      </c>
      <c r="C87" s="19" t="n">
        <v>25</v>
      </c>
      <c r="D87" s="19" t="inlineStr">
        <is>
          <t>火</t>
        </is>
      </c>
      <c r="E87" s="19" t="inlineStr">
        <is>
          <t>平日</t>
        </is>
      </c>
      <c r="F87" s="20" t="n">
        <v>256280</v>
      </c>
      <c r="G87" s="19" t="inlineStr">
        <is>
          <t>もたい</t>
        </is>
      </c>
      <c r="H87" s="20" t="n">
        <v>11264030</v>
      </c>
      <c r="I87" s="19" t="inlineStr"/>
    </row>
    <row r="88">
      <c r="A88" s="18" t="n">
        <v>46260</v>
      </c>
      <c r="B88" s="19" t="inlineStr">
        <is>
          <t>8月</t>
        </is>
      </c>
      <c r="C88" s="19" t="n">
        <v>26</v>
      </c>
      <c r="D88" s="19" t="inlineStr">
        <is>
          <t>水</t>
        </is>
      </c>
      <c r="E88" s="19" t="inlineStr">
        <is>
          <t>平日</t>
        </is>
      </c>
      <c r="F88" s="20" t="n">
        <v>351140</v>
      </c>
      <c r="G88" s="19" t="inlineStr">
        <is>
          <t>大後戸</t>
        </is>
      </c>
      <c r="H88" s="20" t="n">
        <v>11615170</v>
      </c>
      <c r="I88" s="19" t="inlineStr"/>
    </row>
    <row r="89">
      <c r="A89" s="18" t="n">
        <v>46261</v>
      </c>
      <c r="B89" s="19" t="inlineStr">
        <is>
          <t>8月</t>
        </is>
      </c>
      <c r="C89" s="19" t="n">
        <v>27</v>
      </c>
      <c r="D89" s="19" t="inlineStr">
        <is>
          <t>木</t>
        </is>
      </c>
      <c r="E89" s="19" t="inlineStr">
        <is>
          <t>平日</t>
        </is>
      </c>
      <c r="F89" s="20" t="n">
        <v>299580</v>
      </c>
      <c r="G89" s="19" t="inlineStr">
        <is>
          <t>かりん</t>
        </is>
      </c>
      <c r="H89" s="20" t="n">
        <v>11914750</v>
      </c>
      <c r="I89" s="19" t="inlineStr"/>
    </row>
    <row r="90">
      <c r="A90" s="18" t="n">
        <v>46262</v>
      </c>
      <c r="B90" s="19" t="inlineStr">
        <is>
          <t>8月</t>
        </is>
      </c>
      <c r="C90" s="19" t="n">
        <v>28</v>
      </c>
      <c r="D90" s="19" t="inlineStr">
        <is>
          <t>金</t>
        </is>
      </c>
      <c r="E90" s="19" t="inlineStr">
        <is>
          <t>平日</t>
        </is>
      </c>
      <c r="F90" s="20" t="n">
        <v>362970</v>
      </c>
      <c r="G90" s="19" t="inlineStr">
        <is>
          <t>大後戸</t>
        </is>
      </c>
      <c r="H90" s="20" t="n">
        <v>12277720</v>
      </c>
      <c r="I90" s="19" t="inlineStr"/>
    </row>
    <row r="91">
      <c r="A91" s="15" t="n">
        <v>46263</v>
      </c>
      <c r="B91" s="16" t="inlineStr">
        <is>
          <t>8月</t>
        </is>
      </c>
      <c r="C91" s="16" t="n">
        <v>29</v>
      </c>
      <c r="D91" s="16" t="inlineStr">
        <is>
          <t>土</t>
        </is>
      </c>
      <c r="E91" s="16" t="inlineStr">
        <is>
          <t>土日祝</t>
        </is>
      </c>
      <c r="F91" s="17" t="n">
        <v>554810</v>
      </c>
      <c r="G91" s="16" t="inlineStr">
        <is>
          <t>大後戸</t>
        </is>
      </c>
      <c r="H91" s="17" t="n">
        <v>12832530</v>
      </c>
      <c r="I91" s="16" t="inlineStr"/>
    </row>
    <row r="92">
      <c r="A92" s="15" t="n">
        <v>46264</v>
      </c>
      <c r="B92" s="16" t="inlineStr">
        <is>
          <t>8月</t>
        </is>
      </c>
      <c r="C92" s="16" t="n">
        <v>30</v>
      </c>
      <c r="D92" s="16" t="inlineStr">
        <is>
          <t>日</t>
        </is>
      </c>
      <c r="E92" s="16" t="inlineStr">
        <is>
          <t>土日祝</t>
        </is>
      </c>
      <c r="F92" s="17" t="n">
        <v>477270</v>
      </c>
      <c r="G92" s="16" t="inlineStr">
        <is>
          <t>棚橋</t>
        </is>
      </c>
      <c r="H92" s="17" t="n">
        <v>13309800</v>
      </c>
      <c r="I92" s="16" t="inlineStr"/>
    </row>
    <row r="93">
      <c r="A93" s="18" t="n">
        <v>46265</v>
      </c>
      <c r="B93" s="19" t="inlineStr">
        <is>
          <t>8月</t>
        </is>
      </c>
      <c r="C93" s="19" t="n">
        <v>31</v>
      </c>
      <c r="D93" s="19" t="inlineStr">
        <is>
          <t>月</t>
        </is>
      </c>
      <c r="E93" s="19" t="inlineStr">
        <is>
          <t>平日</t>
        </is>
      </c>
      <c r="F93" s="20" t="n">
        <v>219670</v>
      </c>
      <c r="G93" s="19" t="inlineStr">
        <is>
          <t>大後戸</t>
        </is>
      </c>
      <c r="H93" s="20" t="n">
        <v>13529470</v>
      </c>
      <c r="I93" s="19" t="inlineStr"/>
    </row>
    <row r="94">
      <c r="A94" s="18" t="n">
        <v>46266</v>
      </c>
      <c r="B94" s="19" t="inlineStr">
        <is>
          <t>9月</t>
        </is>
      </c>
      <c r="C94" s="19" t="n">
        <v>1</v>
      </c>
      <c r="D94" s="19" t="inlineStr">
        <is>
          <t>火</t>
        </is>
      </c>
      <c r="E94" s="19" t="inlineStr">
        <is>
          <t>平日</t>
        </is>
      </c>
      <c r="F94" s="20" t="n">
        <v>228460</v>
      </c>
      <c r="G94" s="19" t="inlineStr">
        <is>
          <t>大後戸</t>
        </is>
      </c>
      <c r="H94" s="20" t="n">
        <v>228460</v>
      </c>
      <c r="I94" s="19" t="inlineStr"/>
    </row>
    <row r="95">
      <c r="A95" s="18" t="n">
        <v>46267</v>
      </c>
      <c r="B95" s="19" t="inlineStr">
        <is>
          <t>9月</t>
        </is>
      </c>
      <c r="C95" s="19" t="n">
        <v>2</v>
      </c>
      <c r="D95" s="19" t="inlineStr">
        <is>
          <t>水</t>
        </is>
      </c>
      <c r="E95" s="19" t="inlineStr">
        <is>
          <t>平日</t>
        </is>
      </c>
      <c r="F95" s="20" t="n">
        <v>214940</v>
      </c>
      <c r="G95" s="19" t="inlineStr">
        <is>
          <t>かりん</t>
        </is>
      </c>
      <c r="H95" s="20" t="n">
        <v>443400</v>
      </c>
      <c r="I95" s="19" t="inlineStr"/>
    </row>
    <row r="96">
      <c r="A96" s="18" t="n">
        <v>46268</v>
      </c>
      <c r="B96" s="19" t="inlineStr">
        <is>
          <t>9月</t>
        </is>
      </c>
      <c r="C96" s="19" t="n">
        <v>3</v>
      </c>
      <c r="D96" s="19" t="inlineStr">
        <is>
          <t>木</t>
        </is>
      </c>
      <c r="E96" s="19" t="inlineStr">
        <is>
          <t>平日</t>
        </is>
      </c>
      <c r="F96" s="20" t="n">
        <v>263030</v>
      </c>
      <c r="G96" s="19" t="inlineStr">
        <is>
          <t>大後戸</t>
        </is>
      </c>
      <c r="H96" s="20" t="n">
        <v>706430</v>
      </c>
      <c r="I96" s="19" t="inlineStr"/>
    </row>
    <row r="97">
      <c r="A97" s="18" t="n">
        <v>46269</v>
      </c>
      <c r="B97" s="19" t="inlineStr">
        <is>
          <t>9月</t>
        </is>
      </c>
      <c r="C97" s="19" t="n">
        <v>4</v>
      </c>
      <c r="D97" s="19" t="inlineStr">
        <is>
          <t>金</t>
        </is>
      </c>
      <c r="E97" s="19" t="inlineStr">
        <is>
          <t>平日</t>
        </is>
      </c>
      <c r="F97" s="20" t="n">
        <v>212930</v>
      </c>
      <c r="G97" s="19" t="inlineStr">
        <is>
          <t>大後戸</t>
        </is>
      </c>
      <c r="H97" s="20" t="n">
        <v>919360</v>
      </c>
      <c r="I97" s="19" t="inlineStr"/>
    </row>
    <row r="98">
      <c r="A98" s="15" t="n">
        <v>46270</v>
      </c>
      <c r="B98" s="16" t="inlineStr">
        <is>
          <t>9月</t>
        </is>
      </c>
      <c r="C98" s="16" t="n">
        <v>5</v>
      </c>
      <c r="D98" s="16" t="inlineStr">
        <is>
          <t>土</t>
        </is>
      </c>
      <c r="E98" s="16" t="inlineStr">
        <is>
          <t>土日祝</t>
        </is>
      </c>
      <c r="F98" s="17" t="n">
        <v>573870</v>
      </c>
      <c r="G98" s="16" t="inlineStr">
        <is>
          <t>棚橋</t>
        </is>
      </c>
      <c r="H98" s="17" t="n">
        <v>1493230</v>
      </c>
      <c r="I98" s="16" t="inlineStr"/>
    </row>
    <row r="99">
      <c r="A99" s="15" t="n">
        <v>46271</v>
      </c>
      <c r="B99" s="16" t="inlineStr">
        <is>
          <t>9月</t>
        </is>
      </c>
      <c r="C99" s="16" t="n">
        <v>6</v>
      </c>
      <c r="D99" s="16" t="inlineStr">
        <is>
          <t>日</t>
        </is>
      </c>
      <c r="E99" s="16" t="inlineStr">
        <is>
          <t>土日祝</t>
        </is>
      </c>
      <c r="F99" s="17" t="n">
        <v>543590</v>
      </c>
      <c r="G99" s="16" t="inlineStr">
        <is>
          <t>大後戸</t>
        </is>
      </c>
      <c r="H99" s="17" t="n">
        <v>2036820</v>
      </c>
      <c r="I99" s="16" t="inlineStr"/>
    </row>
    <row r="100">
      <c r="A100" s="18" t="n">
        <v>46272</v>
      </c>
      <c r="B100" s="19" t="inlineStr">
        <is>
          <t>9月</t>
        </is>
      </c>
      <c r="C100" s="19" t="n">
        <v>7</v>
      </c>
      <c r="D100" s="19" t="inlineStr">
        <is>
          <t>月</t>
        </is>
      </c>
      <c r="E100" s="19" t="inlineStr">
        <is>
          <t>平日</t>
        </is>
      </c>
      <c r="F100" s="20" t="n">
        <v>207730</v>
      </c>
      <c r="G100" s="19" t="inlineStr">
        <is>
          <t>もたい</t>
        </is>
      </c>
      <c r="H100" s="20" t="n">
        <v>2244550</v>
      </c>
      <c r="I100" s="19" t="inlineStr"/>
    </row>
    <row r="101">
      <c r="A101" s="18" t="n">
        <v>46273</v>
      </c>
      <c r="B101" s="19" t="inlineStr">
        <is>
          <t>9月</t>
        </is>
      </c>
      <c r="C101" s="19" t="n">
        <v>8</v>
      </c>
      <c r="D101" s="19" t="inlineStr">
        <is>
          <t>火</t>
        </is>
      </c>
      <c r="E101" s="19" t="inlineStr">
        <is>
          <t>平日</t>
        </is>
      </c>
      <c r="F101" s="20" t="n">
        <v>335170</v>
      </c>
      <c r="G101" s="19" t="inlineStr">
        <is>
          <t>もたい</t>
        </is>
      </c>
      <c r="H101" s="20" t="n">
        <v>2579720</v>
      </c>
      <c r="I101" s="19" t="inlineStr"/>
    </row>
    <row r="102">
      <c r="A102" s="18" t="n">
        <v>46274</v>
      </c>
      <c r="B102" s="19" t="inlineStr">
        <is>
          <t>9月</t>
        </is>
      </c>
      <c r="C102" s="19" t="n">
        <v>9</v>
      </c>
      <c r="D102" s="19" t="inlineStr">
        <is>
          <t>水</t>
        </is>
      </c>
      <c r="E102" s="19" t="inlineStr">
        <is>
          <t>平日</t>
        </is>
      </c>
      <c r="F102" s="20" t="n">
        <v>212760</v>
      </c>
      <c r="G102" s="19" t="inlineStr">
        <is>
          <t>大後戸</t>
        </is>
      </c>
      <c r="H102" s="20" t="n">
        <v>2792480</v>
      </c>
      <c r="I102" s="19" t="inlineStr"/>
    </row>
    <row r="103">
      <c r="A103" s="18" t="n">
        <v>46275</v>
      </c>
      <c r="B103" s="19" t="inlineStr">
        <is>
          <t>9月</t>
        </is>
      </c>
      <c r="C103" s="19" t="n">
        <v>10</v>
      </c>
      <c r="D103" s="19" t="inlineStr">
        <is>
          <t>木</t>
        </is>
      </c>
      <c r="E103" s="19" t="inlineStr">
        <is>
          <t>平日</t>
        </is>
      </c>
      <c r="F103" s="20" t="n">
        <v>294500</v>
      </c>
      <c r="G103" s="19" t="inlineStr">
        <is>
          <t>大後戸</t>
        </is>
      </c>
      <c r="H103" s="20" t="n">
        <v>3086980</v>
      </c>
      <c r="I103" s="19" t="inlineStr"/>
    </row>
    <row r="104">
      <c r="A104" s="18" t="n">
        <v>46276</v>
      </c>
      <c r="B104" s="19" t="inlineStr">
        <is>
          <t>9月</t>
        </is>
      </c>
      <c r="C104" s="19" t="n">
        <v>11</v>
      </c>
      <c r="D104" s="19" t="inlineStr">
        <is>
          <t>金</t>
        </is>
      </c>
      <c r="E104" s="19" t="inlineStr">
        <is>
          <t>平日</t>
        </is>
      </c>
      <c r="F104" s="20" t="n">
        <v>320850</v>
      </c>
      <c r="G104" s="19" t="inlineStr">
        <is>
          <t>もたい</t>
        </is>
      </c>
      <c r="H104" s="20" t="n">
        <v>3407830</v>
      </c>
      <c r="I104" s="19" t="inlineStr"/>
    </row>
    <row r="105">
      <c r="A105" s="15" t="n">
        <v>46277</v>
      </c>
      <c r="B105" s="16" t="inlineStr">
        <is>
          <t>9月</t>
        </is>
      </c>
      <c r="C105" s="16" t="n">
        <v>12</v>
      </c>
      <c r="D105" s="16" t="inlineStr">
        <is>
          <t>土</t>
        </is>
      </c>
      <c r="E105" s="16" t="inlineStr">
        <is>
          <t>土日祝</t>
        </is>
      </c>
      <c r="F105" s="17" t="n">
        <v>507490</v>
      </c>
      <c r="G105" s="16" t="inlineStr">
        <is>
          <t>大後戸</t>
        </is>
      </c>
      <c r="H105" s="17" t="n">
        <v>3915320</v>
      </c>
      <c r="I105" s="16" t="inlineStr"/>
    </row>
    <row r="106">
      <c r="A106" s="15" t="n">
        <v>46278</v>
      </c>
      <c r="B106" s="16" t="inlineStr">
        <is>
          <t>9月</t>
        </is>
      </c>
      <c r="C106" s="16" t="n">
        <v>13</v>
      </c>
      <c r="D106" s="16" t="inlineStr">
        <is>
          <t>日</t>
        </is>
      </c>
      <c r="E106" s="16" t="inlineStr">
        <is>
          <t>土日祝</t>
        </is>
      </c>
      <c r="F106" s="17" t="n">
        <v>543290</v>
      </c>
      <c r="G106" s="16" t="inlineStr">
        <is>
          <t>大後戸</t>
        </is>
      </c>
      <c r="H106" s="17" t="n">
        <v>4458610</v>
      </c>
      <c r="I106" s="16" t="inlineStr"/>
    </row>
    <row r="107">
      <c r="A107" s="18" t="n">
        <v>46279</v>
      </c>
      <c r="B107" s="19" t="inlineStr">
        <is>
          <t>9月</t>
        </is>
      </c>
      <c r="C107" s="19" t="n">
        <v>14</v>
      </c>
      <c r="D107" s="19" t="inlineStr">
        <is>
          <t>月</t>
        </is>
      </c>
      <c r="E107" s="19" t="inlineStr">
        <is>
          <t>平日</t>
        </is>
      </c>
      <c r="F107" s="20" t="n">
        <v>215510</v>
      </c>
      <c r="G107" s="19" t="inlineStr">
        <is>
          <t>大後戸</t>
        </is>
      </c>
      <c r="H107" s="20" t="n">
        <v>4674120</v>
      </c>
      <c r="I107" s="19" t="inlineStr"/>
    </row>
    <row r="108">
      <c r="A108" s="18" t="n">
        <v>46280</v>
      </c>
      <c r="B108" s="19" t="inlineStr">
        <is>
          <t>9月</t>
        </is>
      </c>
      <c r="C108" s="19" t="n">
        <v>15</v>
      </c>
      <c r="D108" s="19" t="inlineStr">
        <is>
          <t>火</t>
        </is>
      </c>
      <c r="E108" s="19" t="inlineStr">
        <is>
          <t>平日</t>
        </is>
      </c>
      <c r="F108" s="20" t="n">
        <v>167060</v>
      </c>
      <c r="G108" s="19" t="inlineStr">
        <is>
          <t>かりん</t>
        </is>
      </c>
      <c r="H108" s="20" t="n">
        <v>4841180</v>
      </c>
      <c r="I108" s="19" t="inlineStr"/>
    </row>
    <row r="109">
      <c r="A109" s="18" t="n">
        <v>46281</v>
      </c>
      <c r="B109" s="19" t="inlineStr">
        <is>
          <t>9月</t>
        </is>
      </c>
      <c r="C109" s="19" t="n">
        <v>16</v>
      </c>
      <c r="D109" s="19" t="inlineStr">
        <is>
          <t>水</t>
        </is>
      </c>
      <c r="E109" s="19" t="inlineStr">
        <is>
          <t>平日</t>
        </is>
      </c>
      <c r="F109" s="20" t="n">
        <v>392050</v>
      </c>
      <c r="G109" s="19" t="inlineStr">
        <is>
          <t>大後戸</t>
        </is>
      </c>
      <c r="H109" s="20" t="n">
        <v>5233230</v>
      </c>
      <c r="I109" s="19" t="inlineStr"/>
    </row>
    <row r="110">
      <c r="A110" s="18" t="n">
        <v>46282</v>
      </c>
      <c r="B110" s="19" t="inlineStr">
        <is>
          <t>9月</t>
        </is>
      </c>
      <c r="C110" s="19" t="n">
        <v>17</v>
      </c>
      <c r="D110" s="19" t="inlineStr">
        <is>
          <t>木</t>
        </is>
      </c>
      <c r="E110" s="19" t="inlineStr">
        <is>
          <t>平日</t>
        </is>
      </c>
      <c r="F110" s="20" t="n">
        <v>259100</v>
      </c>
      <c r="G110" s="19" t="inlineStr">
        <is>
          <t>もたい</t>
        </is>
      </c>
      <c r="H110" s="20" t="n">
        <v>5492330</v>
      </c>
      <c r="I110" s="19" t="inlineStr"/>
    </row>
    <row r="111">
      <c r="A111" s="18" t="n">
        <v>46283</v>
      </c>
      <c r="B111" s="19" t="inlineStr">
        <is>
          <t>9月</t>
        </is>
      </c>
      <c r="C111" s="19" t="n">
        <v>18</v>
      </c>
      <c r="D111" s="19" t="inlineStr">
        <is>
          <t>金</t>
        </is>
      </c>
      <c r="E111" s="19" t="inlineStr">
        <is>
          <t>平日</t>
        </is>
      </c>
      <c r="F111" s="20" t="n">
        <v>278990</v>
      </c>
      <c r="G111" s="19" t="inlineStr">
        <is>
          <t>もたい</t>
        </is>
      </c>
      <c r="H111" s="20" t="n">
        <v>5771320</v>
      </c>
      <c r="I111" s="19" t="inlineStr"/>
    </row>
    <row r="112">
      <c r="A112" s="15" t="n">
        <v>46284</v>
      </c>
      <c r="B112" s="16" t="inlineStr">
        <is>
          <t>9月</t>
        </is>
      </c>
      <c r="C112" s="16" t="n">
        <v>19</v>
      </c>
      <c r="D112" s="16" t="inlineStr">
        <is>
          <t>土</t>
        </is>
      </c>
      <c r="E112" s="16" t="inlineStr">
        <is>
          <t>土日祝</t>
        </is>
      </c>
      <c r="F112" s="17" t="n">
        <v>466800</v>
      </c>
      <c r="G112" s="16" t="inlineStr">
        <is>
          <t>大後戸</t>
        </is>
      </c>
      <c r="H112" s="17" t="n">
        <v>6238120</v>
      </c>
      <c r="I112" s="16" t="inlineStr"/>
    </row>
    <row r="113">
      <c r="A113" s="15" t="n">
        <v>46285</v>
      </c>
      <c r="B113" s="16" t="inlineStr">
        <is>
          <t>9月</t>
        </is>
      </c>
      <c r="C113" s="16" t="n">
        <v>20</v>
      </c>
      <c r="D113" s="16" t="inlineStr">
        <is>
          <t>日</t>
        </is>
      </c>
      <c r="E113" s="16" t="inlineStr">
        <is>
          <t>土日祝</t>
        </is>
      </c>
      <c r="F113" s="17" t="n">
        <v>586850</v>
      </c>
      <c r="G113" s="16" t="inlineStr">
        <is>
          <t>大後戸</t>
        </is>
      </c>
      <c r="H113" s="17" t="n">
        <v>6824970</v>
      </c>
      <c r="I113" s="16" t="inlineStr"/>
    </row>
    <row r="114">
      <c r="A114" s="15" t="n">
        <v>46286</v>
      </c>
      <c r="B114" s="16" t="inlineStr">
        <is>
          <t>9月</t>
        </is>
      </c>
      <c r="C114" s="16" t="n">
        <v>21</v>
      </c>
      <c r="D114" s="16" t="inlineStr">
        <is>
          <t>月</t>
        </is>
      </c>
      <c r="E114" s="16" t="inlineStr">
        <is>
          <t>土日祝</t>
        </is>
      </c>
      <c r="F114" s="17" t="n">
        <v>606440</v>
      </c>
      <c r="G114" s="16" t="inlineStr">
        <is>
          <t>大後戸</t>
        </is>
      </c>
      <c r="H114" s="17" t="n">
        <v>7431410</v>
      </c>
      <c r="I114" s="16" t="inlineStr"/>
    </row>
    <row r="115">
      <c r="A115" s="15" t="n">
        <v>46287</v>
      </c>
      <c r="B115" s="16" t="inlineStr">
        <is>
          <t>9月</t>
        </is>
      </c>
      <c r="C115" s="16" t="n">
        <v>22</v>
      </c>
      <c r="D115" s="16" t="inlineStr">
        <is>
          <t>火</t>
        </is>
      </c>
      <c r="E115" s="16" t="inlineStr">
        <is>
          <t>土日祝</t>
        </is>
      </c>
      <c r="F115" s="17" t="n">
        <v>471650</v>
      </c>
      <c r="G115" s="16" t="inlineStr">
        <is>
          <t>棚橋</t>
        </is>
      </c>
      <c r="H115" s="17" t="n">
        <v>7903060</v>
      </c>
      <c r="I115" s="16" t="inlineStr"/>
    </row>
    <row r="116">
      <c r="A116" s="15" t="n">
        <v>46288</v>
      </c>
      <c r="B116" s="16" t="inlineStr">
        <is>
          <t>9月</t>
        </is>
      </c>
      <c r="C116" s="16" t="n">
        <v>23</v>
      </c>
      <c r="D116" s="16" t="inlineStr">
        <is>
          <t>水</t>
        </is>
      </c>
      <c r="E116" s="16" t="inlineStr">
        <is>
          <t>土日祝</t>
        </is>
      </c>
      <c r="F116" s="17" t="n">
        <v>425490</v>
      </c>
      <c r="G116" s="16" t="inlineStr">
        <is>
          <t>大後戸</t>
        </is>
      </c>
      <c r="H116" s="17" t="n">
        <v>8328550</v>
      </c>
      <c r="I116" s="16" t="inlineStr"/>
    </row>
    <row r="117">
      <c r="A117" s="18" t="n">
        <v>46289</v>
      </c>
      <c r="B117" s="19" t="inlineStr">
        <is>
          <t>9月</t>
        </is>
      </c>
      <c r="C117" s="19" t="n">
        <v>24</v>
      </c>
      <c r="D117" s="19" t="inlineStr">
        <is>
          <t>木</t>
        </is>
      </c>
      <c r="E117" s="19" t="inlineStr">
        <is>
          <t>平日</t>
        </is>
      </c>
      <c r="F117" s="20" t="n">
        <v>223490</v>
      </c>
      <c r="G117" s="19" t="inlineStr">
        <is>
          <t>もたい</t>
        </is>
      </c>
      <c r="H117" s="20" t="n">
        <v>8552040</v>
      </c>
      <c r="I117" s="19" t="inlineStr"/>
    </row>
    <row r="118">
      <c r="A118" s="18" t="n">
        <v>46290</v>
      </c>
      <c r="B118" s="19" t="inlineStr">
        <is>
          <t>9月</t>
        </is>
      </c>
      <c r="C118" s="19" t="n">
        <v>25</v>
      </c>
      <c r="D118" s="19" t="inlineStr">
        <is>
          <t>金</t>
        </is>
      </c>
      <c r="E118" s="19" t="inlineStr">
        <is>
          <t>平日</t>
        </is>
      </c>
      <c r="F118" s="20" t="n">
        <v>235170</v>
      </c>
      <c r="G118" s="19" t="inlineStr">
        <is>
          <t>もたい</t>
        </is>
      </c>
      <c r="H118" s="20" t="n">
        <v>8787210</v>
      </c>
      <c r="I118" s="19" t="inlineStr"/>
    </row>
    <row r="119">
      <c r="A119" s="15" t="n">
        <v>46291</v>
      </c>
      <c r="B119" s="16" t="inlineStr">
        <is>
          <t>9月</t>
        </is>
      </c>
      <c r="C119" s="16" t="n">
        <v>26</v>
      </c>
      <c r="D119" s="16" t="inlineStr">
        <is>
          <t>土</t>
        </is>
      </c>
      <c r="E119" s="16" t="inlineStr">
        <is>
          <t>土日祝</t>
        </is>
      </c>
      <c r="F119" s="17" t="n">
        <v>569450</v>
      </c>
      <c r="G119" s="16" t="inlineStr">
        <is>
          <t>棚橋</t>
        </is>
      </c>
      <c r="H119" s="17" t="n">
        <v>9356660</v>
      </c>
      <c r="I119" s="16" t="inlineStr"/>
    </row>
    <row r="120">
      <c r="A120" s="15" t="n">
        <v>46292</v>
      </c>
      <c r="B120" s="16" t="inlineStr">
        <is>
          <t>9月</t>
        </is>
      </c>
      <c r="C120" s="16" t="n">
        <v>27</v>
      </c>
      <c r="D120" s="16" t="inlineStr">
        <is>
          <t>日</t>
        </is>
      </c>
      <c r="E120" s="16" t="inlineStr">
        <is>
          <t>土日祝</t>
        </is>
      </c>
      <c r="F120" s="17" t="n">
        <v>512050</v>
      </c>
      <c r="G120" s="16" t="inlineStr">
        <is>
          <t>大後戸</t>
        </is>
      </c>
      <c r="H120" s="17" t="n">
        <v>9868710</v>
      </c>
      <c r="I120" s="16" t="inlineStr"/>
    </row>
    <row r="121">
      <c r="A121" s="18" t="n">
        <v>46293</v>
      </c>
      <c r="B121" s="19" t="inlineStr">
        <is>
          <t>9月</t>
        </is>
      </c>
      <c r="C121" s="19" t="n">
        <v>28</v>
      </c>
      <c r="D121" s="19" t="inlineStr">
        <is>
          <t>月</t>
        </is>
      </c>
      <c r="E121" s="19" t="inlineStr">
        <is>
          <t>平日</t>
        </is>
      </c>
      <c r="F121" s="20" t="n">
        <v>175910</v>
      </c>
      <c r="G121" s="19" t="inlineStr">
        <is>
          <t>もたい</t>
        </is>
      </c>
      <c r="H121" s="20" t="n">
        <v>10044620</v>
      </c>
      <c r="I121" s="19" t="inlineStr"/>
    </row>
    <row r="122">
      <c r="A122" s="18" t="n">
        <v>46294</v>
      </c>
      <c r="B122" s="19" t="inlineStr">
        <is>
          <t>9月</t>
        </is>
      </c>
      <c r="C122" s="19" t="n">
        <v>29</v>
      </c>
      <c r="D122" s="19" t="inlineStr">
        <is>
          <t>火</t>
        </is>
      </c>
      <c r="E122" s="19" t="inlineStr">
        <is>
          <t>平日</t>
        </is>
      </c>
      <c r="F122" s="20" t="n">
        <v>203590</v>
      </c>
      <c r="G122" s="19" t="inlineStr">
        <is>
          <t>大後戸</t>
        </is>
      </c>
      <c r="H122" s="20" t="n">
        <v>10248210</v>
      </c>
      <c r="I122" s="19" t="inlineStr"/>
    </row>
    <row r="123">
      <c r="A123" s="18" t="n">
        <v>46295</v>
      </c>
      <c r="B123" s="19" t="inlineStr">
        <is>
          <t>9月</t>
        </is>
      </c>
      <c r="C123" s="19" t="n">
        <v>30</v>
      </c>
      <c r="D123" s="19" t="inlineStr">
        <is>
          <t>水</t>
        </is>
      </c>
      <c r="E123" s="19" t="inlineStr">
        <is>
          <t>平日</t>
        </is>
      </c>
      <c r="F123" s="20" t="n">
        <v>204670</v>
      </c>
      <c r="G123" s="19" t="inlineStr">
        <is>
          <t>大後戸</t>
        </is>
      </c>
      <c r="H123" s="20" t="n">
        <v>10452880</v>
      </c>
      <c r="I123" s="19" t="inlineStr"/>
    </row>
  </sheetData>
  <autoFilter ref="A1:I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</cols>
  <sheetData>
    <row r="1">
      <c r="A1" s="3" t="inlineStr">
        <is>
          <t>報告者</t>
        </is>
      </c>
      <c r="B1" s="3" t="inlineStr">
        <is>
          <t>報告回数</t>
        </is>
      </c>
      <c r="C1" s="3" t="inlineStr">
        <is>
          <t>報告日の売上合計</t>
        </is>
      </c>
      <c r="D1" s="3" t="inlineStr">
        <is>
          <t>1日平均</t>
        </is>
      </c>
    </row>
    <row r="2">
      <c r="A2" s="20" t="inlineStr">
        <is>
          <t>大後戸</t>
        </is>
      </c>
      <c r="B2" s="20">
        <f>COUNTIF(日別データ!$G$2:$G$123,A2)</f>
        <v/>
      </c>
      <c r="C2" s="20">
        <f>SUMIF(日別データ!$G$2:$G$123,A2,日別データ!$F$2:$F$123)</f>
        <v/>
      </c>
      <c r="D2" s="20">
        <f>IFERROR(C2/B2,0)</f>
        <v/>
      </c>
    </row>
    <row r="3">
      <c r="A3" s="20" t="inlineStr">
        <is>
          <t>もたい</t>
        </is>
      </c>
      <c r="B3" s="20">
        <f>COUNTIF(日別データ!$G$2:$G$123,A3)</f>
        <v/>
      </c>
      <c r="C3" s="20">
        <f>SUMIF(日別データ!$G$2:$G$123,A3,日別データ!$F$2:$F$123)</f>
        <v/>
      </c>
      <c r="D3" s="20">
        <f>IFERROR(C3/B3,0)</f>
        <v/>
      </c>
    </row>
    <row r="4">
      <c r="A4" s="20" t="inlineStr">
        <is>
          <t>棚橋</t>
        </is>
      </c>
      <c r="B4" s="20">
        <f>COUNTIF(日別データ!$G$2:$G$123,A4)</f>
        <v/>
      </c>
      <c r="C4" s="20">
        <f>SUMIF(日別データ!$G$2:$G$123,A4,日別データ!$F$2:$F$123)</f>
        <v/>
      </c>
      <c r="D4" s="20">
        <f>IFERROR(C4/B4,0)</f>
        <v/>
      </c>
    </row>
    <row r="5">
      <c r="A5" s="20" t="inlineStr">
        <is>
          <t>かりん</t>
        </is>
      </c>
      <c r="B5" s="20">
        <f>COUNTIF(日別データ!$G$2:$G$123,A5)</f>
        <v/>
      </c>
      <c r="C5" s="20">
        <f>SUMIF(日別データ!$G$2:$G$123,A5,日別データ!$F$2:$F$123)</f>
        <v/>
      </c>
      <c r="D5" s="20">
        <f>IFERROR(C5/B5,0)</f>
        <v/>
      </c>
    </row>
    <row r="7">
      <c r="A7" s="2" t="inlineStr">
        <is>
          <t>※報告者＝LINEに報告を投稿した人（売上担当とは限りません）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日</t>
        </is>
      </c>
      <c r="B1" s="3" t="inlineStr">
        <is>
          <t>6月</t>
        </is>
      </c>
      <c r="C1" s="3" t="inlineStr">
        <is>
          <t>7月</t>
        </is>
      </c>
      <c r="D1" s="3" t="inlineStr">
        <is>
          <t>8月</t>
        </is>
      </c>
      <c r="E1" s="3" t="inlineStr">
        <is>
          <t>9月</t>
        </is>
      </c>
    </row>
    <row r="2">
      <c r="A2" s="21" t="n">
        <v>1</v>
      </c>
      <c r="C2" s="22" t="n">
        <v>454040</v>
      </c>
      <c r="D2" s="22" t="n">
        <v>664790</v>
      </c>
      <c r="E2" s="22" t="n">
        <v>228460</v>
      </c>
    </row>
    <row r="3">
      <c r="A3" s="21" t="n">
        <v>2</v>
      </c>
      <c r="C3" s="22" t="n">
        <v>421760</v>
      </c>
      <c r="D3" s="22" t="n">
        <v>711580</v>
      </c>
      <c r="E3" s="22" t="n">
        <v>214940</v>
      </c>
    </row>
    <row r="4">
      <c r="A4" s="21" t="n">
        <v>3</v>
      </c>
      <c r="C4" s="22" t="n">
        <v>526640</v>
      </c>
      <c r="D4" s="22" t="n">
        <v>363910</v>
      </c>
      <c r="E4" s="22" t="n">
        <v>263030</v>
      </c>
    </row>
    <row r="5">
      <c r="A5" s="21" t="n">
        <v>4</v>
      </c>
      <c r="C5" s="22" t="n">
        <v>833600</v>
      </c>
      <c r="D5" s="22" t="n">
        <v>360990</v>
      </c>
      <c r="E5" s="22" t="n">
        <v>212930</v>
      </c>
    </row>
    <row r="6">
      <c r="A6" s="21" t="n">
        <v>5</v>
      </c>
      <c r="C6" s="22" t="n">
        <v>717490</v>
      </c>
      <c r="D6" s="22" t="n">
        <v>383160</v>
      </c>
      <c r="E6" s="22" t="n">
        <v>573870</v>
      </c>
    </row>
    <row r="7">
      <c r="A7" s="21" t="n">
        <v>6</v>
      </c>
      <c r="C7" s="22" t="n">
        <v>294280</v>
      </c>
      <c r="D7" s="22" t="n">
        <v>388830</v>
      </c>
      <c r="E7" s="22" t="n">
        <v>543590</v>
      </c>
    </row>
    <row r="8">
      <c r="A8" s="21" t="n">
        <v>7</v>
      </c>
      <c r="C8" s="22" t="n">
        <v>332760</v>
      </c>
      <c r="D8" s="22" t="n">
        <v>449020</v>
      </c>
      <c r="E8" s="22" t="n">
        <v>207730</v>
      </c>
    </row>
    <row r="9">
      <c r="A9" s="21" t="n">
        <v>8</v>
      </c>
      <c r="C9" s="22" t="n">
        <v>375800</v>
      </c>
      <c r="E9" s="22" t="n">
        <v>335170</v>
      </c>
    </row>
    <row r="10">
      <c r="A10" s="21" t="n">
        <v>9</v>
      </c>
      <c r="C10" s="22" t="n">
        <v>425290</v>
      </c>
      <c r="E10" s="22" t="n">
        <v>212760</v>
      </c>
    </row>
    <row r="11">
      <c r="A11" s="21" t="n">
        <v>10</v>
      </c>
      <c r="C11" s="22" t="n">
        <v>474820</v>
      </c>
      <c r="E11" s="22" t="n">
        <v>294500</v>
      </c>
    </row>
    <row r="12">
      <c r="A12" s="21" t="n">
        <v>11</v>
      </c>
      <c r="C12" s="22" t="n">
        <v>773400</v>
      </c>
      <c r="E12" s="22" t="n">
        <v>320850</v>
      </c>
    </row>
    <row r="13">
      <c r="A13" s="21" t="n">
        <v>12</v>
      </c>
      <c r="C13" s="22" t="n">
        <v>786550</v>
      </c>
      <c r="E13" s="22" t="n">
        <v>507490</v>
      </c>
    </row>
    <row r="14">
      <c r="A14" s="21" t="n">
        <v>13</v>
      </c>
      <c r="C14" s="22" t="n">
        <v>372650</v>
      </c>
      <c r="E14" s="22" t="n">
        <v>543290</v>
      </c>
    </row>
    <row r="15">
      <c r="A15" s="21" t="n">
        <v>14</v>
      </c>
      <c r="C15" s="22" t="n">
        <v>289840</v>
      </c>
      <c r="E15" s="22" t="n">
        <v>215510</v>
      </c>
    </row>
    <row r="16">
      <c r="A16" s="21" t="n">
        <v>15</v>
      </c>
      <c r="C16" s="22" t="n">
        <v>418780</v>
      </c>
      <c r="E16" s="22" t="n">
        <v>167060</v>
      </c>
    </row>
    <row r="17">
      <c r="A17" s="21" t="n">
        <v>16</v>
      </c>
      <c r="C17" s="22" t="n">
        <v>459900</v>
      </c>
      <c r="E17" s="22" t="n">
        <v>392050</v>
      </c>
    </row>
    <row r="18">
      <c r="A18" s="21" t="n">
        <v>17</v>
      </c>
      <c r="C18" s="22" t="n">
        <v>493180</v>
      </c>
      <c r="E18" s="22" t="n">
        <v>259100</v>
      </c>
    </row>
    <row r="19">
      <c r="A19" s="21" t="n">
        <v>18</v>
      </c>
      <c r="C19" s="22" t="n">
        <v>652640</v>
      </c>
      <c r="E19" s="22" t="n">
        <v>278990</v>
      </c>
    </row>
    <row r="20">
      <c r="A20" s="21" t="n">
        <v>19</v>
      </c>
      <c r="C20" s="22" t="n">
        <v>737850</v>
      </c>
      <c r="E20" s="22" t="n">
        <v>466800</v>
      </c>
    </row>
    <row r="21">
      <c r="A21" s="21" t="n">
        <v>20</v>
      </c>
      <c r="C21" s="22" t="n">
        <v>597070</v>
      </c>
      <c r="E21" s="22" t="n">
        <v>586850</v>
      </c>
    </row>
    <row r="22">
      <c r="A22" s="21" t="n">
        <v>21</v>
      </c>
      <c r="B22" s="22" t="n">
        <v>636370</v>
      </c>
      <c r="E22" s="22" t="n">
        <v>606440</v>
      </c>
    </row>
    <row r="23">
      <c r="A23" s="21" t="n">
        <v>22</v>
      </c>
      <c r="B23" s="22" t="n">
        <v>386840</v>
      </c>
      <c r="E23" s="22" t="n">
        <v>471650</v>
      </c>
    </row>
    <row r="24">
      <c r="A24" s="21" t="n">
        <v>23</v>
      </c>
      <c r="B24" s="22" t="n">
        <v>377840</v>
      </c>
      <c r="E24" s="22" t="n">
        <v>425490</v>
      </c>
    </row>
    <row r="25">
      <c r="A25" s="21" t="n">
        <v>24</v>
      </c>
      <c r="B25" s="22" t="n">
        <v>428620</v>
      </c>
      <c r="D25" s="22" t="n">
        <v>268730</v>
      </c>
      <c r="E25" s="22" t="n">
        <v>223490</v>
      </c>
    </row>
    <row r="26">
      <c r="A26" s="21" t="n">
        <v>25</v>
      </c>
      <c r="B26" s="22" t="n">
        <v>374210</v>
      </c>
      <c r="C26" s="22" t="n">
        <v>615300</v>
      </c>
      <c r="D26" s="22" t="n">
        <v>256280</v>
      </c>
      <c r="E26" s="22" t="n">
        <v>235170</v>
      </c>
    </row>
    <row r="27">
      <c r="A27" s="21" t="n">
        <v>26</v>
      </c>
      <c r="B27" s="22" t="n">
        <v>459300</v>
      </c>
      <c r="C27" s="22" t="n">
        <v>695890</v>
      </c>
      <c r="D27" s="22" t="n">
        <v>351140</v>
      </c>
      <c r="E27" s="22" t="n">
        <v>569450</v>
      </c>
    </row>
    <row r="28">
      <c r="A28" s="21" t="n">
        <v>27</v>
      </c>
      <c r="B28" s="22" t="n">
        <v>716170</v>
      </c>
      <c r="C28" s="22" t="n">
        <v>395610</v>
      </c>
      <c r="D28" s="22" t="n">
        <v>299580</v>
      </c>
      <c r="E28" s="22" t="n">
        <v>512050</v>
      </c>
    </row>
    <row r="29">
      <c r="A29" s="21" t="n">
        <v>28</v>
      </c>
      <c r="B29" s="22" t="n">
        <v>707360</v>
      </c>
      <c r="C29" s="22" t="n">
        <v>357540</v>
      </c>
      <c r="D29" s="22" t="n">
        <v>362970</v>
      </c>
      <c r="E29" s="22" t="n">
        <v>175910</v>
      </c>
    </row>
    <row r="30">
      <c r="A30" s="21" t="n">
        <v>29</v>
      </c>
      <c r="B30" s="22" t="n">
        <v>335720</v>
      </c>
      <c r="C30" s="22" t="n">
        <v>383270</v>
      </c>
      <c r="D30" s="22" t="n">
        <v>554810</v>
      </c>
      <c r="E30" s="22" t="n">
        <v>203590</v>
      </c>
    </row>
    <row r="31">
      <c r="A31" s="21" t="n">
        <v>30</v>
      </c>
      <c r="B31" s="22" t="n">
        <v>304420</v>
      </c>
      <c r="C31" s="22" t="n">
        <v>397380</v>
      </c>
      <c r="D31" s="22" t="n">
        <v>477270</v>
      </c>
      <c r="E31" s="22" t="n">
        <v>204670</v>
      </c>
    </row>
    <row r="32">
      <c r="A32" s="21" t="n">
        <v>31</v>
      </c>
      <c r="C32" s="22" t="n">
        <v>533650</v>
      </c>
      <c r="D32" s="22" t="n">
        <v>219670</v>
      </c>
    </row>
    <row r="34">
      <c r="A34" s="2" t="inlineStr">
        <is>
          <t>※日別データシートの値（未報告日は空欄＝グラフ上で途切れます）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2026-10-02T06:37:11Z</dcterms:created>
  <dcterms:modified xsi:type="dcterms:W3CDTF">2026-10-02T06:37:11Z</dcterms:modified>
</cp:coreProperties>
</file>